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43dc6553a5b9479/Engineering/Engineering/Projects/P-2025-016- Janssen Gurabo/Estimate/"/>
    </mc:Choice>
  </mc:AlternateContent>
  <xr:revisionPtr revIDLastSave="864" documentId="13_ncr:1_{958BE88A-1CD3-4137-A652-822184845617}" xr6:coauthVersionLast="47" xr6:coauthVersionMax="47" xr10:uidLastSave="{BAC4B990-EFC7-CD41-B171-293094D6E02B}"/>
  <bookViews>
    <workbookView xWindow="0" yWindow="500" windowWidth="38400" windowHeight="19900" activeTab="1" xr2:uid="{0DD80C43-0C74-4499-B351-8780723CECEE}"/>
  </bookViews>
  <sheets>
    <sheet name="Summary" sheetId="3" r:id="rId1"/>
    <sheet name="Material &amp; Labor" sheetId="1" r:id="rId2"/>
    <sheet name="Equipment" sheetId="5" r:id="rId3"/>
    <sheet name="General Conditions" sheetId="4" r:id="rId4"/>
    <sheet name="Sub-Contractors" sheetId="6" r:id="rId5"/>
    <sheet name="Roundtrip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3" l="1"/>
  <c r="E21" i="5" l="1"/>
  <c r="E22" i="5"/>
  <c r="T25" i="1"/>
  <c r="T21" i="1"/>
  <c r="T22" i="1"/>
  <c r="T23" i="1"/>
  <c r="T24" i="1"/>
  <c r="T20" i="1"/>
  <c r="T10" i="1"/>
  <c r="T11" i="1"/>
  <c r="T12" i="1"/>
  <c r="T13" i="1"/>
  <c r="T9" i="1"/>
  <c r="H40" i="3"/>
  <c r="E5" i="4"/>
  <c r="E5" i="5"/>
  <c r="E6" i="5"/>
  <c r="E23" i="5"/>
  <c r="E24" i="5"/>
  <c r="E25" i="5"/>
  <c r="E26" i="5"/>
  <c r="E27" i="5"/>
  <c r="E28" i="5"/>
  <c r="E29" i="5"/>
  <c r="E30" i="5"/>
  <c r="E7" i="5"/>
  <c r="E8" i="5"/>
  <c r="E9" i="5"/>
  <c r="E10" i="5"/>
  <c r="E11" i="5"/>
  <c r="E12" i="5"/>
  <c r="E13" i="5"/>
  <c r="E14" i="5"/>
  <c r="E15" i="5"/>
  <c r="E16" i="5"/>
  <c r="C68" i="1"/>
  <c r="B68" i="1"/>
  <c r="O67" i="1"/>
  <c r="I67" i="1"/>
  <c r="N66" i="1"/>
  <c r="O66" i="1" s="1"/>
  <c r="I66" i="1"/>
  <c r="N65" i="1"/>
  <c r="O65" i="1" s="1"/>
  <c r="I65" i="1"/>
  <c r="N64" i="1"/>
  <c r="O64" i="1" s="1"/>
  <c r="I64" i="1"/>
  <c r="N63" i="1"/>
  <c r="O63" i="1" s="1"/>
  <c r="I63" i="1"/>
  <c r="N62" i="1"/>
  <c r="O62" i="1" s="1"/>
  <c r="I62" i="1"/>
  <c r="N61" i="1"/>
  <c r="O61" i="1" s="1"/>
  <c r="I61" i="1"/>
  <c r="N60" i="1"/>
  <c r="O60" i="1" s="1"/>
  <c r="I60" i="1"/>
  <c r="N59" i="1"/>
  <c r="O59" i="1" s="1"/>
  <c r="I59" i="1"/>
  <c r="N58" i="1"/>
  <c r="O58" i="1" s="1"/>
  <c r="I58" i="1"/>
  <c r="N57" i="1"/>
  <c r="O57" i="1" s="1"/>
  <c r="O68" i="1" s="1"/>
  <c r="I57" i="1"/>
  <c r="I68" i="1" s="1"/>
  <c r="C55" i="1"/>
  <c r="B55" i="1"/>
  <c r="O54" i="1"/>
  <c r="I54" i="1"/>
  <c r="N53" i="1"/>
  <c r="O53" i="1" s="1"/>
  <c r="I53" i="1"/>
  <c r="N52" i="1"/>
  <c r="O52" i="1" s="1"/>
  <c r="I52" i="1"/>
  <c r="N51" i="1"/>
  <c r="O51" i="1" s="1"/>
  <c r="I51" i="1"/>
  <c r="N50" i="1"/>
  <c r="O50" i="1" s="1"/>
  <c r="I50" i="1"/>
  <c r="N49" i="1"/>
  <c r="O49" i="1" s="1"/>
  <c r="I49" i="1"/>
  <c r="N48" i="1"/>
  <c r="O48" i="1" s="1"/>
  <c r="I48" i="1"/>
  <c r="N47" i="1"/>
  <c r="O47" i="1" s="1"/>
  <c r="I47" i="1"/>
  <c r="N46" i="1"/>
  <c r="O46" i="1" s="1"/>
  <c r="I46" i="1"/>
  <c r="N45" i="1"/>
  <c r="O45" i="1" s="1"/>
  <c r="I45" i="1"/>
  <c r="N44" i="1"/>
  <c r="O44" i="1" s="1"/>
  <c r="O55" i="1" s="1"/>
  <c r="I44" i="1"/>
  <c r="I55" i="1" s="1"/>
  <c r="C42" i="1"/>
  <c r="B42" i="1"/>
  <c r="O41" i="1"/>
  <c r="I41" i="1"/>
  <c r="N40" i="1"/>
  <c r="O40" i="1" s="1"/>
  <c r="I40" i="1"/>
  <c r="N39" i="1"/>
  <c r="O39" i="1" s="1"/>
  <c r="I39" i="1"/>
  <c r="N38" i="1"/>
  <c r="O38" i="1" s="1"/>
  <c r="I38" i="1"/>
  <c r="N37" i="1"/>
  <c r="O37" i="1" s="1"/>
  <c r="I37" i="1"/>
  <c r="N36" i="1"/>
  <c r="O36" i="1" s="1"/>
  <c r="I36" i="1"/>
  <c r="N35" i="1"/>
  <c r="O35" i="1" s="1"/>
  <c r="I35" i="1"/>
  <c r="N34" i="1"/>
  <c r="O34" i="1" s="1"/>
  <c r="I34" i="1"/>
  <c r="N33" i="1"/>
  <c r="O33" i="1" s="1"/>
  <c r="I33" i="1"/>
  <c r="N32" i="1"/>
  <c r="O32" i="1" s="1"/>
  <c r="I32" i="1"/>
  <c r="N31" i="1"/>
  <c r="O31" i="1" s="1"/>
  <c r="I31" i="1"/>
  <c r="E20" i="5"/>
  <c r="T14" i="1" l="1"/>
  <c r="O42" i="1"/>
  <c r="I42" i="1"/>
  <c r="N27" i="1"/>
  <c r="N26" i="1"/>
  <c r="N25" i="1"/>
  <c r="N24" i="1"/>
  <c r="N23" i="1"/>
  <c r="N22" i="1"/>
  <c r="N21" i="1"/>
  <c r="N20" i="1"/>
  <c r="N19" i="1"/>
  <c r="N18" i="1"/>
  <c r="N7" i="1"/>
  <c r="O7" i="1" s="1"/>
  <c r="N8" i="1"/>
  <c r="O8" i="1" s="1"/>
  <c r="N9" i="1"/>
  <c r="O9" i="1" s="1"/>
  <c r="N10" i="1"/>
  <c r="O10" i="1" s="1"/>
  <c r="N11" i="1"/>
  <c r="O11" i="1" s="1"/>
  <c r="N12" i="1"/>
  <c r="O12" i="1"/>
  <c r="N13" i="1"/>
  <c r="O13" i="1" s="1"/>
  <c r="N14" i="1"/>
  <c r="O14" i="1" s="1"/>
  <c r="I7" i="1"/>
  <c r="I8" i="1"/>
  <c r="I9" i="1"/>
  <c r="I10" i="1"/>
  <c r="I11" i="1"/>
  <c r="I12" i="1"/>
  <c r="I13" i="1"/>
  <c r="I14" i="1"/>
  <c r="E7" i="8"/>
  <c r="E6" i="8" l="1"/>
  <c r="E5" i="8" l="1"/>
  <c r="E16" i="8" s="1"/>
  <c r="C3" i="8" s="1"/>
  <c r="B16" i="3" s="1"/>
  <c r="C43" i="6" l="1"/>
  <c r="B43" i="6"/>
  <c r="C29" i="6"/>
  <c r="B29" i="6"/>
  <c r="C15" i="6"/>
  <c r="B15" i="6"/>
  <c r="B6" i="3" l="1"/>
  <c r="O28" i="1"/>
  <c r="O27" i="1"/>
  <c r="O26" i="1"/>
  <c r="O15" i="1"/>
  <c r="I28" i="1"/>
  <c r="I27" i="1"/>
  <c r="I26" i="1"/>
  <c r="I25" i="1"/>
  <c r="I24" i="1"/>
  <c r="I23" i="1"/>
  <c r="I22" i="1"/>
  <c r="I21" i="1"/>
  <c r="I20" i="1"/>
  <c r="I19" i="1"/>
  <c r="I18" i="1"/>
  <c r="I6" i="1"/>
  <c r="I15" i="1"/>
  <c r="I5" i="1"/>
  <c r="E31" i="5"/>
  <c r="E28" i="4"/>
  <c r="E27" i="4"/>
  <c r="E26" i="4"/>
  <c r="E25" i="4"/>
  <c r="E24" i="4"/>
  <c r="E23" i="4"/>
  <c r="E22" i="4"/>
  <c r="E21" i="4"/>
  <c r="E20" i="4"/>
  <c r="E19" i="4"/>
  <c r="E18" i="4"/>
  <c r="E6" i="4"/>
  <c r="E7" i="4"/>
  <c r="E8" i="4"/>
  <c r="E9" i="4"/>
  <c r="E10" i="4"/>
  <c r="E11" i="4"/>
  <c r="E12" i="4"/>
  <c r="E13" i="4"/>
  <c r="E14" i="4"/>
  <c r="E15" i="4"/>
  <c r="E16" i="4" l="1"/>
  <c r="E29" i="4"/>
  <c r="E32" i="5"/>
  <c r="E17" i="5"/>
  <c r="C3" i="4" l="1"/>
  <c r="B15" i="3" s="1" a="1"/>
  <c r="B15" i="3" s="1"/>
  <c r="B17" i="3" s="1"/>
  <c r="C3" i="5"/>
  <c r="B3" i="3" s="1"/>
  <c r="O25" i="1"/>
  <c r="O24" i="1"/>
  <c r="O23" i="1"/>
  <c r="O22" i="1"/>
  <c r="O21" i="1"/>
  <c r="O20" i="1"/>
  <c r="O19" i="1"/>
  <c r="O18" i="1"/>
  <c r="N6" i="1"/>
  <c r="O6" i="1" s="1"/>
  <c r="N5" i="1"/>
  <c r="O5" i="1" s="1"/>
  <c r="O29" i="1" l="1"/>
  <c r="O16" i="1"/>
  <c r="I29" i="1"/>
  <c r="C29" i="1"/>
  <c r="B29" i="1"/>
  <c r="C16" i="1"/>
  <c r="B16" i="1"/>
  <c r="B7" i="3"/>
  <c r="B8" i="3" s="1"/>
  <c r="B4" i="3"/>
  <c r="B5" i="3" s="1"/>
  <c r="B3" i="1" l="1"/>
  <c r="B9" i="3" s="1" a="1"/>
  <c r="B9" i="3" s="1"/>
  <c r="N3" i="1"/>
  <c r="B13" i="3" s="1" a="1"/>
  <c r="B13" i="3" s="1"/>
  <c r="I16" i="1"/>
  <c r="H3" i="1" s="1"/>
  <c r="T29" i="1" s="1"/>
  <c r="B12" i="3" l="1" a="1"/>
  <c r="B12" i="3" s="1"/>
  <c r="T17" i="1"/>
  <c r="B10" i="3"/>
  <c r="B11" i="3" s="1"/>
  <c r="B27" i="3" l="1"/>
  <c r="B18" i="3"/>
  <c r="B21" i="3" s="1"/>
  <c r="B22" i="3" l="1"/>
  <c r="B23" i="3" s="1"/>
  <c r="B24" i="3" s="1"/>
  <c r="B28" i="3" s="1"/>
  <c r="B29" i="3" s="1"/>
  <c r="B30" i="3" l="1"/>
  <c r="B31" i="3" s="1"/>
  <c r="B32" i="3" l="1"/>
  <c r="B34" i="3" s="1"/>
  <c r="B36" i="3" l="1"/>
  <c r="B35" i="3"/>
  <c r="B37" i="3" l="1"/>
  <c r="B40" i="3" s="1"/>
  <c r="B41" i="3" s="1"/>
  <c r="B42" i="3" l="1"/>
  <c r="B43" i="3" s="1"/>
  <c r="B44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<sst xmlns="http://schemas.openxmlformats.org/spreadsheetml/2006/main" count="333" uniqueCount="107">
  <si>
    <t>Description</t>
  </si>
  <si>
    <t>Equipment Rental</t>
  </si>
  <si>
    <t>Subcontractor</t>
  </si>
  <si>
    <t>Materials</t>
  </si>
  <si>
    <t>IVU</t>
  </si>
  <si>
    <t>Total</t>
  </si>
  <si>
    <t>Labor Regular</t>
  </si>
  <si>
    <t>Labor OT</t>
  </si>
  <si>
    <t>B2B</t>
  </si>
  <si>
    <t>Sub-Total</t>
  </si>
  <si>
    <t>CFSE</t>
  </si>
  <si>
    <t>Liability</t>
  </si>
  <si>
    <t>Profit</t>
  </si>
  <si>
    <t>Overhead</t>
  </si>
  <si>
    <t>Contingency</t>
  </si>
  <si>
    <t>Insurances</t>
  </si>
  <si>
    <t>Municipal Patent</t>
  </si>
  <si>
    <t>Arbitrios</t>
  </si>
  <si>
    <t>Bid Bond</t>
  </si>
  <si>
    <t>Performance Bond</t>
  </si>
  <si>
    <t>Labor, Materials &amp; Equipments</t>
  </si>
  <si>
    <t>Project Cost</t>
  </si>
  <si>
    <t>TOTAL</t>
  </si>
  <si>
    <t>Materials &amp; Labor Costs</t>
  </si>
  <si>
    <t>Estimate Sheet Summary</t>
  </si>
  <si>
    <t>Materials per Tasks</t>
  </si>
  <si>
    <t>Quoted Cost</t>
  </si>
  <si>
    <t>Assumed Cost</t>
  </si>
  <si>
    <t>Qty</t>
  </si>
  <si>
    <t>Personnel</t>
  </si>
  <si>
    <t>Project Manager</t>
  </si>
  <si>
    <t>Supervisor</t>
  </si>
  <si>
    <t>Soldador</t>
  </si>
  <si>
    <t>Ayudante</t>
  </si>
  <si>
    <t>Instalador</t>
  </si>
  <si>
    <t>Fabricador</t>
  </si>
  <si>
    <t>Safety</t>
  </si>
  <si>
    <t>Hours</t>
  </si>
  <si>
    <t>Rate</t>
  </si>
  <si>
    <t>Regular Labor Cost</t>
  </si>
  <si>
    <t>Over Time Labor Cost</t>
  </si>
  <si>
    <t>Total Regular Labor Cost</t>
  </si>
  <si>
    <t>Total Materials Costs</t>
  </si>
  <si>
    <t>Total OT Labor Cost</t>
  </si>
  <si>
    <t>Sum</t>
  </si>
  <si>
    <t>General Conditions</t>
  </si>
  <si>
    <t>Transportacion</t>
  </si>
  <si>
    <t xml:space="preserve">OHSMS Equipment </t>
  </si>
  <si>
    <t>Total Equipments Costs</t>
  </si>
  <si>
    <t>Days</t>
  </si>
  <si>
    <t xml:space="preserve">Equipments Costs </t>
  </si>
  <si>
    <t>Total GC Costs</t>
  </si>
  <si>
    <t>Unit</t>
  </si>
  <si>
    <t>Cost</t>
  </si>
  <si>
    <t>Profit &amp; OH</t>
  </si>
  <si>
    <t>Sub-Contractors</t>
  </si>
  <si>
    <t>Civil</t>
  </si>
  <si>
    <t>Mechanical</t>
  </si>
  <si>
    <t>Electrical</t>
  </si>
  <si>
    <t>SC</t>
  </si>
  <si>
    <t>Agua</t>
  </si>
  <si>
    <t>gal</t>
  </si>
  <si>
    <t>hielo</t>
  </si>
  <si>
    <t>ea</t>
  </si>
  <si>
    <t>Telefono</t>
  </si>
  <si>
    <t>Rotulos</t>
  </si>
  <si>
    <t>Material Limpieza</t>
  </si>
  <si>
    <t>Cintas Perimetro</t>
  </si>
  <si>
    <t>EPP</t>
  </si>
  <si>
    <t>lot</t>
  </si>
  <si>
    <t>Equipment Costs</t>
  </si>
  <si>
    <t>Carpintero</t>
  </si>
  <si>
    <t>Total Roundtrip Costs</t>
  </si>
  <si>
    <t>Pueblo</t>
  </si>
  <si>
    <t>Millas por viaje</t>
  </si>
  <si>
    <t>Dias</t>
  </si>
  <si>
    <t>Fajardo</t>
  </si>
  <si>
    <t>Costo por milla</t>
  </si>
  <si>
    <t>Gurabo</t>
  </si>
  <si>
    <t>Cidra</t>
  </si>
  <si>
    <t>Project Engineer</t>
  </si>
  <si>
    <t>Material/Equipment</t>
  </si>
  <si>
    <t>Labor</t>
  </si>
  <si>
    <t>Leyenda</t>
  </si>
  <si>
    <t>Celda con formula</t>
  </si>
  <si>
    <t>Celda de input</t>
  </si>
  <si>
    <t>Form-OHSMS-E-0001</t>
  </si>
  <si>
    <t>Rev. 01 - 08/18/2025</t>
  </si>
  <si>
    <t>Roundtrip</t>
  </si>
  <si>
    <t>Escaleras</t>
  </si>
  <si>
    <t>Taladros</t>
  </si>
  <si>
    <t>Sup</t>
  </si>
  <si>
    <t>Sold</t>
  </si>
  <si>
    <t>Ayud</t>
  </si>
  <si>
    <t>PM</t>
  </si>
  <si>
    <t>Diferencia</t>
  </si>
  <si>
    <t>Dias @ Costos Reales</t>
  </si>
  <si>
    <t>Band Saw</t>
  </si>
  <si>
    <t>6 ft., 9 in. x 2.3 in. x 1.5 in. 14-Gauge Green C Powder Coated Galvanized Steel Post</t>
  </si>
  <si>
    <t>5 in. x 5 in. 14-Gauge Green Galvanized Steel Base-Coated Welded Wire</t>
  </si>
  <si>
    <t>7/32 in. x 6-1/4 in. Zinc-Plated Turnbuckle Hook/Eye</t>
  </si>
  <si>
    <t>5/16 in. x 4 in. Galvanized Eyebolt/Nut</t>
  </si>
  <si>
    <t>1/4 in. Zinc-Plated Clamp Set (4-Pack)</t>
  </si>
  <si>
    <t>1/8 in. x 250 ft. Galvanized Vinyl Coated Steel Wire Rope</t>
  </si>
  <si>
    <t xml:space="preserve">3/8 in. x 3 in. Zinc-Plated Steel Hex-Nut-Head Indoor Sleeve Anchors (15-Pack)
</t>
  </si>
  <si>
    <t>6’ Height Privacy Screen</t>
  </si>
  <si>
    <t xml:space="preserve">Llaves de ajuste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</si>
</sst>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.0%"/>
    <numFmt numFmtId="165" formatCode="_(&quot;$&quot;* #,##0.00_);_(&quot;$&quot;* \(#,##0.00\);_(&quot;$&quot;* &quot;-&quot;???_);_(@_)"/>
  </numFmts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66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92">
    <xf numFmtId="0" fontId="0" fillId="0" borderId="0" xfId="0"/>
    <xf numFmtId="0" fontId="0" fillId="3" borderId="1" xfId="0" applyFill="1" applyBorder="1"/>
    <xf numFmtId="14" fontId="0" fillId="3" borderId="1" xfId="0" applyNumberFormat="1" applyFill="1" applyBorder="1"/>
    <xf numFmtId="0" fontId="2" fillId="2" borderId="1" xfId="0" applyFont="1" applyFill="1" applyBorder="1" applyAlignment="1">
      <alignment horizontal="center"/>
    </xf>
    <xf numFmtId="10" fontId="0" fillId="0" borderId="0" xfId="0" applyNumberFormat="1"/>
    <xf numFmtId="164" fontId="0" fillId="0" borderId="0" xfId="0" applyNumberFormat="1"/>
    <xf numFmtId="9" fontId="0" fillId="0" borderId="0" xfId="0" applyNumberFormat="1"/>
    <xf numFmtId="0" fontId="5" fillId="2" borderId="1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0" fillId="3" borderId="6" xfId="0" applyFill="1" applyBorder="1"/>
    <xf numFmtId="0" fontId="0" fillId="3" borderId="8" xfId="0" applyFill="1" applyBorder="1"/>
    <xf numFmtId="0" fontId="0" fillId="2" borderId="10" xfId="0" applyFill="1" applyBorder="1" applyAlignment="1">
      <alignment horizontal="right"/>
    </xf>
    <xf numFmtId="0" fontId="0" fillId="3" borderId="18" xfId="0" applyFill="1" applyBorder="1"/>
    <xf numFmtId="44" fontId="0" fillId="2" borderId="11" xfId="0" applyNumberFormat="1" applyFill="1" applyBorder="1"/>
    <xf numFmtId="0" fontId="5" fillId="2" borderId="21" xfId="0" applyFont="1" applyFill="1" applyBorder="1" applyAlignment="1">
      <alignment horizontal="right"/>
    </xf>
    <xf numFmtId="44" fontId="0" fillId="2" borderId="20" xfId="0" applyNumberFormat="1" applyFill="1" applyBorder="1"/>
    <xf numFmtId="44" fontId="0" fillId="3" borderId="1" xfId="0" applyNumberFormat="1" applyFill="1" applyBorder="1"/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3" borderId="4" xfId="0" applyFill="1" applyBorder="1"/>
    <xf numFmtId="44" fontId="0" fillId="3" borderId="1" xfId="1" applyFont="1" applyFill="1" applyBorder="1"/>
    <xf numFmtId="44" fontId="0" fillId="3" borderId="2" xfId="1" applyFont="1" applyFill="1" applyBorder="1"/>
    <xf numFmtId="0" fontId="2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44" fontId="0" fillId="2" borderId="1" xfId="0" applyNumberFormat="1" applyFill="1" applyBorder="1"/>
    <xf numFmtId="0" fontId="0" fillId="4" borderId="27" xfId="0" applyFill="1" applyBorder="1" applyAlignment="1">
      <alignment horizontal="right"/>
    </xf>
    <xf numFmtId="44" fontId="0" fillId="4" borderId="28" xfId="0" applyNumberFormat="1" applyFill="1" applyBorder="1"/>
    <xf numFmtId="0" fontId="5" fillId="2" borderId="29" xfId="0" applyFont="1" applyFill="1" applyBorder="1" applyAlignment="1">
      <alignment horizontal="right"/>
    </xf>
    <xf numFmtId="0" fontId="0" fillId="3" borderId="1" xfId="1" applyNumberFormat="1" applyFont="1" applyFill="1" applyBorder="1"/>
    <xf numFmtId="44" fontId="6" fillId="3" borderId="1" xfId="1" applyFont="1" applyFill="1" applyBorder="1"/>
    <xf numFmtId="37" fontId="0" fillId="3" borderId="1" xfId="1" applyNumberFormat="1" applyFont="1" applyFill="1" applyBorder="1"/>
    <xf numFmtId="9" fontId="0" fillId="0" borderId="0" xfId="2" applyFont="1"/>
    <xf numFmtId="44" fontId="0" fillId="0" borderId="0" xfId="0" applyNumberFormat="1"/>
    <xf numFmtId="44" fontId="0" fillId="2" borderId="1" xfId="0" applyNumberFormat="1" applyFill="1" applyBorder="1" applyAlignment="1">
      <alignment horizont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0" fillId="5" borderId="1" xfId="0" applyFill="1" applyBorder="1"/>
    <xf numFmtId="44" fontId="0" fillId="5" borderId="1" xfId="1" applyFont="1" applyFill="1" applyBorder="1"/>
    <xf numFmtId="0" fontId="0" fillId="5" borderId="4" xfId="0" applyFill="1" applyBorder="1"/>
    <xf numFmtId="44" fontId="6" fillId="5" borderId="4" xfId="1" applyFont="1" applyFill="1" applyBorder="1"/>
    <xf numFmtId="0" fontId="3" fillId="2" borderId="23" xfId="0" applyFont="1" applyFill="1" applyBorder="1" applyAlignment="1">
      <alignment vertical="center"/>
    </xf>
    <xf numFmtId="0" fontId="3" fillId="2" borderId="24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0" fillId="2" borderId="24" xfId="0" applyFill="1" applyBorder="1"/>
    <xf numFmtId="0" fontId="0" fillId="2" borderId="5" xfId="0" applyFill="1" applyBorder="1"/>
    <xf numFmtId="0" fontId="0" fillId="2" borderId="23" xfId="0" applyFill="1" applyBorder="1"/>
    <xf numFmtId="44" fontId="0" fillId="5" borderId="1" xfId="0" applyNumberFormat="1" applyFill="1" applyBorder="1"/>
    <xf numFmtId="44" fontId="0" fillId="5" borderId="2" xfId="1" applyFont="1" applyFill="1" applyBorder="1"/>
    <xf numFmtId="44" fontId="0" fillId="5" borderId="1" xfId="1" applyFont="1" applyFill="1" applyBorder="1" applyAlignment="1"/>
    <xf numFmtId="44" fontId="0" fillId="5" borderId="7" xfId="1" applyFont="1" applyFill="1" applyBorder="1"/>
    <xf numFmtId="44" fontId="0" fillId="5" borderId="9" xfId="1" applyFont="1" applyFill="1" applyBorder="1"/>
    <xf numFmtId="44" fontId="0" fillId="5" borderId="9" xfId="0" applyNumberFormat="1" applyFill="1" applyBorder="1"/>
    <xf numFmtId="165" fontId="0" fillId="5" borderId="9" xfId="0" applyNumberFormat="1" applyFill="1" applyBorder="1"/>
    <xf numFmtId="44" fontId="0" fillId="5" borderId="19" xfId="1" applyFont="1" applyFill="1" applyBorder="1"/>
    <xf numFmtId="44" fontId="0" fillId="5" borderId="22" xfId="0" applyNumberFormat="1" applyFill="1" applyBorder="1"/>
    <xf numFmtId="44" fontId="0" fillId="5" borderId="7" xfId="0" applyNumberFormat="1" applyFill="1" applyBorder="1"/>
    <xf numFmtId="0" fontId="0" fillId="0" borderId="1" xfId="0" applyBorder="1"/>
    <xf numFmtId="0" fontId="0" fillId="0" borderId="30" xfId="0" applyBorder="1"/>
    <xf numFmtId="0" fontId="0" fillId="0" borderId="31" xfId="0" applyBorder="1"/>
    <xf numFmtId="44" fontId="8" fillId="0" borderId="0" xfId="0" applyNumberFormat="1" applyFont="1"/>
    <xf numFmtId="1" fontId="5" fillId="0" borderId="0" xfId="0" applyNumberFormat="1" applyFont="1"/>
    <xf numFmtId="0" fontId="0" fillId="3" borderId="1" xfId="0" applyFill="1" applyBorder="1" applyAlignment="1">
      <alignment wrapText="1"/>
    </xf>
    <xf numFmtId="44" fontId="0" fillId="2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7" fillId="4" borderId="32" xfId="0" applyFont="1" applyFill="1" applyBorder="1" applyAlignment="1">
      <alignment horizontal="right" vertical="center"/>
    </xf>
    <xf numFmtId="0" fontId="7" fillId="4" borderId="33" xfId="0" applyFont="1" applyFill="1" applyBorder="1" applyAlignment="1">
      <alignment horizontal="right" vertical="center"/>
    </xf>
    <xf numFmtId="0" fontId="5" fillId="2" borderId="6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0" fontId="5" fillId="2" borderId="17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right"/>
    </xf>
    <xf numFmtId="0" fontId="5" fillId="2" borderId="2" xfId="0" applyFont="1" applyFill="1" applyBorder="1" applyAlignment="1">
      <alignment horizontal="right"/>
    </xf>
    <xf numFmtId="0" fontId="5" fillId="0" borderId="0" xfId="0" applyFont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7" fillId="4" borderId="26" xfId="0" applyFont="1" applyFill="1" applyBorder="1" applyAlignment="1">
      <alignment horizontal="center" vertical="center"/>
    </xf>
    <xf numFmtId="0" fontId="7" fillId="4" borderId="25" xfId="0" applyFont="1" applyFill="1" applyBorder="1" applyAlignment="1">
      <alignment horizontal="center" vertical="center"/>
    </xf>
    <xf numFmtId="44" fontId="2" fillId="5" borderId="2" xfId="1" applyFont="1" applyFill="1" applyBorder="1" applyAlignment="1">
      <alignment horizontal="center" vertical="center"/>
    </xf>
    <xf numFmtId="44" fontId="2" fillId="5" borderId="4" xfId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44" fontId="2" fillId="5" borderId="1" xfId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right"/>
    </xf>
    <xf numFmtId="44" fontId="2" fillId="3" borderId="1" xfId="1" applyFont="1" applyFill="1" applyBorder="1" applyAlignment="1">
      <alignment horizontal="center" vertic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289561</xdr:colOff>
      <xdr:row>0</xdr:row>
      <xdr:rowOff>0</xdr:rowOff>
    </xdr:from>
    <xdr:to>
      <xdr:col>0</xdr:col>
      <xdr:colOff>1634490</xdr:colOff>
      <xdr:row>1</xdr:row>
      <xdr:rowOff>4676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BE4572-D00D-4FB5-9CD4-9010C79C9C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561" y="0"/>
          <a:ext cx="1325879" cy="5742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289561</xdr:colOff>
      <xdr:row>0</xdr:row>
      <xdr:rowOff>0</xdr:rowOff>
    </xdr:from>
    <xdr:to>
      <xdr:col>0</xdr:col>
      <xdr:colOff>1634490</xdr:colOff>
      <xdr:row>1</xdr:row>
      <xdr:rowOff>4676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AEF17FD-F177-4392-8241-6CD9019F57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561" y="0"/>
          <a:ext cx="1325879" cy="57427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289561</xdr:colOff>
      <xdr:row>0</xdr:row>
      <xdr:rowOff>0</xdr:rowOff>
    </xdr:from>
    <xdr:to>
      <xdr:col>0</xdr:col>
      <xdr:colOff>1615440</xdr:colOff>
      <xdr:row>1</xdr:row>
      <xdr:rowOff>10391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F9AB0D-15DE-4318-AC6E-59D09391BF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561" y="0"/>
          <a:ext cx="1325879" cy="57236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289561</xdr:colOff>
      <xdr:row>0</xdr:row>
      <xdr:rowOff>0</xdr:rowOff>
    </xdr:from>
    <xdr:to>
      <xdr:col>0</xdr:col>
      <xdr:colOff>1615440</xdr:colOff>
      <xdr:row>1</xdr:row>
      <xdr:rowOff>10391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6A0DFA-37EA-4C24-AA99-8627229AB3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561" y="0"/>
          <a:ext cx="1325879" cy="57236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289561</xdr:colOff>
      <xdr:row>0</xdr:row>
      <xdr:rowOff>0</xdr:rowOff>
    </xdr:from>
    <xdr:to>
      <xdr:col>0</xdr:col>
      <xdr:colOff>1615440</xdr:colOff>
      <xdr:row>1</xdr:row>
      <xdr:rowOff>10391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6394C9-233D-4A1B-BE97-E23443D401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561" y="0"/>
          <a:ext cx="1325879" cy="57236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289561</xdr:colOff>
      <xdr:row>0</xdr:row>
      <xdr:rowOff>0</xdr:rowOff>
    </xdr:from>
    <xdr:to>
      <xdr:col>0</xdr:col>
      <xdr:colOff>1615440</xdr:colOff>
      <xdr:row>1</xdr:row>
      <xdr:rowOff>10391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5529C2-FC34-4BA8-97F3-118215E7F6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561" y="0"/>
          <a:ext cx="1325879" cy="5723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21B55-EEB4-4E2E-A3C5-554370597B02}">
  <dimension ref="A1:I44"/>
  <sheetViews>
    <sheetView workbookViewId="0">
      <selection activeCell="N27" sqref="N27"/>
    </sheetView>
  </sheetViews>
  <sheetFormatPr baseColWidth="10" defaultColWidth="8.83203125" defaultRowHeight="15" x14ac:dyDescent="0.2"/>
  <cols>
    <col min="1" max="2" width="33.33203125" customWidth="1"/>
    <col min="6" max="6" width="11.5" bestFit="1" customWidth="1"/>
    <col min="7" max="9" width="20.83203125" customWidth="1"/>
    <col min="10" max="10" width="15.33203125" bestFit="1" customWidth="1"/>
    <col min="11" max="11" width="11.5" bestFit="1" customWidth="1"/>
  </cols>
  <sheetData>
    <row r="1" spans="1:9" ht="44.5" customHeight="1" thickBot="1" x14ac:dyDescent="0.25">
      <c r="A1" s="66" t="s">
        <v>24</v>
      </c>
      <c r="B1" s="67"/>
    </row>
    <row r="2" spans="1:9" ht="16" thickBot="1" x14ac:dyDescent="0.25">
      <c r="A2" s="74" t="s">
        <v>20</v>
      </c>
      <c r="B2" s="75"/>
    </row>
    <row r="3" spans="1:9" x14ac:dyDescent="0.2">
      <c r="A3" s="9" t="s">
        <v>70</v>
      </c>
      <c r="B3" s="51">
        <f>Equipment!C3</f>
        <v>45</v>
      </c>
    </row>
    <row r="4" spans="1:9" x14ac:dyDescent="0.2">
      <c r="A4" s="10" t="s">
        <v>4</v>
      </c>
      <c r="B4" s="52">
        <f>B3*C4</f>
        <v>5.1749999999999998</v>
      </c>
      <c r="C4" s="5">
        <v>0.115</v>
      </c>
      <c r="G4" s="33"/>
      <c r="H4" s="65"/>
      <c r="I4" s="65"/>
    </row>
    <row r="5" spans="1:9" ht="16" thickBot="1" x14ac:dyDescent="0.25">
      <c r="A5" s="11" t="s">
        <v>44</v>
      </c>
      <c r="B5" s="13">
        <f>SUM(B3:B4)</f>
        <v>50.174999999999997</v>
      </c>
      <c r="G5" s="33"/>
      <c r="H5" s="65"/>
      <c r="I5" s="65"/>
    </row>
    <row r="6" spans="1:9" x14ac:dyDescent="0.2">
      <c r="A6" s="9" t="s">
        <v>2</v>
      </c>
      <c r="B6" s="51">
        <f>'Sub-Contractors'!B15+'Sub-Contractors'!C15+'Sub-Contractors'!B29+'Sub-Contractors'!C29+'Sub-Contractors'!B43+'Sub-Contractors'!C43</f>
        <v>0</v>
      </c>
      <c r="G6" s="33"/>
      <c r="H6" s="65"/>
      <c r="I6" s="65"/>
    </row>
    <row r="7" spans="1:9" x14ac:dyDescent="0.2">
      <c r="A7" s="10" t="s">
        <v>8</v>
      </c>
      <c r="B7" s="53">
        <f>(B6*0.35)*0.04</f>
        <v>0</v>
      </c>
      <c r="G7" s="33"/>
      <c r="H7" s="65"/>
      <c r="I7" s="65"/>
    </row>
    <row r="8" spans="1:9" ht="16" thickBot="1" x14ac:dyDescent="0.25">
      <c r="A8" s="11" t="s">
        <v>44</v>
      </c>
      <c r="B8" s="13">
        <f>SUM(B6:B7)</f>
        <v>0</v>
      </c>
      <c r="G8" s="33"/>
      <c r="H8" s="65"/>
      <c r="I8" s="65"/>
    </row>
    <row r="9" spans="1:9" x14ac:dyDescent="0.2">
      <c r="A9" s="9" t="s">
        <v>3</v>
      </c>
      <c r="B9" s="51" cm="1">
        <f t="array" ref="B9:C9">'Material &amp; Labor'!B3:C3</f>
        <v>4100.7800000000007</v>
      </c>
      <c r="C9">
        <v>0</v>
      </c>
      <c r="G9" s="33"/>
      <c r="H9" s="65"/>
      <c r="I9" s="65"/>
    </row>
    <row r="10" spans="1:9" x14ac:dyDescent="0.2">
      <c r="A10" s="10" t="s">
        <v>4</v>
      </c>
      <c r="B10" s="54">
        <f>B9*C10</f>
        <v>471.58970000000011</v>
      </c>
      <c r="C10" s="4">
        <v>0.115</v>
      </c>
      <c r="G10" s="33"/>
      <c r="H10" s="65"/>
      <c r="I10" s="65"/>
    </row>
    <row r="11" spans="1:9" ht="16" thickBot="1" x14ac:dyDescent="0.25">
      <c r="A11" s="11" t="s">
        <v>44</v>
      </c>
      <c r="B11" s="13">
        <f>SUM(B9:B10)</f>
        <v>4572.3697000000011</v>
      </c>
    </row>
    <row r="12" spans="1:9" x14ac:dyDescent="0.2">
      <c r="A12" s="12" t="s">
        <v>6</v>
      </c>
      <c r="B12" s="55" cm="1">
        <f t="array" ref="B12:C12">'Material &amp; Labor'!H3:I3</f>
        <v>2578.0479999999998</v>
      </c>
      <c r="C12">
        <v>0</v>
      </c>
    </row>
    <row r="13" spans="1:9" x14ac:dyDescent="0.2">
      <c r="A13" s="10" t="s">
        <v>7</v>
      </c>
      <c r="B13" s="52" cm="1">
        <f t="array" ref="B13:C13">'Material &amp; Labor'!N3:O3</f>
        <v>0</v>
      </c>
      <c r="C13">
        <v>0</v>
      </c>
    </row>
    <row r="14" spans="1:9" ht="16" thickBot="1" x14ac:dyDescent="0.25">
      <c r="A14" s="11" t="s">
        <v>44</v>
      </c>
      <c r="B14" s="13">
        <f>SUM(B12:B13)</f>
        <v>2578.0479999999998</v>
      </c>
    </row>
    <row r="15" spans="1:9" x14ac:dyDescent="0.2">
      <c r="A15" s="12" t="s">
        <v>45</v>
      </c>
      <c r="B15" s="55" cm="1">
        <f t="array" ref="B15:D15">'General Conditions'!C3:E3</f>
        <v>172.5</v>
      </c>
      <c r="C15">
        <v>0</v>
      </c>
      <c r="D15">
        <v>0</v>
      </c>
    </row>
    <row r="16" spans="1:9" x14ac:dyDescent="0.2">
      <c r="A16" s="10" t="s">
        <v>46</v>
      </c>
      <c r="B16" s="52">
        <f>Roundtrip!C3</f>
        <v>0</v>
      </c>
    </row>
    <row r="17" spans="1:7" ht="16" thickBot="1" x14ac:dyDescent="0.25">
      <c r="A17" s="11" t="s">
        <v>44</v>
      </c>
      <c r="B17" s="13">
        <f>SUM(B15:B16)</f>
        <v>172.5</v>
      </c>
    </row>
    <row r="18" spans="1:7" x14ac:dyDescent="0.2">
      <c r="A18" s="14" t="s">
        <v>9</v>
      </c>
      <c r="B18" s="56">
        <f>B5+B8+B11+B14+B17</f>
        <v>7373.0927000000011</v>
      </c>
    </row>
    <row r="19" spans="1:7" ht="3.75" customHeight="1" thickBot="1" x14ac:dyDescent="0.25">
      <c r="A19" s="26"/>
      <c r="B19" s="27"/>
      <c r="C19" s="6"/>
    </row>
    <row r="20" spans="1:7" x14ac:dyDescent="0.2">
      <c r="A20" s="68" t="s">
        <v>54</v>
      </c>
      <c r="B20" s="69"/>
    </row>
    <row r="21" spans="1:7" x14ac:dyDescent="0.2">
      <c r="A21" s="10" t="s">
        <v>12</v>
      </c>
      <c r="B21" s="53">
        <f>B18*C21</f>
        <v>589.84741600000007</v>
      </c>
      <c r="C21" s="6">
        <v>0.08</v>
      </c>
      <c r="G21" s="32"/>
    </row>
    <row r="22" spans="1:7" ht="16" thickBot="1" x14ac:dyDescent="0.25">
      <c r="A22" s="11" t="s">
        <v>44</v>
      </c>
      <c r="B22" s="13">
        <f>B18+B21</f>
        <v>7962.9401160000016</v>
      </c>
      <c r="C22" s="6"/>
    </row>
    <row r="23" spans="1:7" x14ac:dyDescent="0.2">
      <c r="A23" s="10" t="s">
        <v>13</v>
      </c>
      <c r="B23" s="53">
        <f>B22*C23</f>
        <v>637.03520928000012</v>
      </c>
      <c r="C23" s="6">
        <v>0.08</v>
      </c>
      <c r="G23" s="32"/>
    </row>
    <row r="24" spans="1:7" ht="16" thickBot="1" x14ac:dyDescent="0.25">
      <c r="A24" s="11" t="s">
        <v>44</v>
      </c>
      <c r="B24" s="13">
        <f>B22+B23</f>
        <v>8599.9753252800019</v>
      </c>
      <c r="C24" s="6"/>
    </row>
    <row r="25" spans="1:7" ht="3.75" customHeight="1" thickBot="1" x14ac:dyDescent="0.25">
      <c r="A25" s="26"/>
      <c r="B25" s="27"/>
      <c r="C25" s="6"/>
    </row>
    <row r="26" spans="1:7" x14ac:dyDescent="0.2">
      <c r="A26" s="70" t="s">
        <v>15</v>
      </c>
      <c r="B26" s="71"/>
    </row>
    <row r="27" spans="1:7" x14ac:dyDescent="0.2">
      <c r="A27" s="10" t="s">
        <v>10</v>
      </c>
      <c r="B27" s="53">
        <f>$B$14*C27</f>
        <v>180.46335999999999</v>
      </c>
      <c r="C27" s="6">
        <v>7.0000000000000007E-2</v>
      </c>
    </row>
    <row r="28" spans="1:7" ht="16" thickBot="1" x14ac:dyDescent="0.25">
      <c r="A28" s="11" t="s">
        <v>44</v>
      </c>
      <c r="B28" s="13">
        <f>B24+B27</f>
        <v>8780.4386852800017</v>
      </c>
      <c r="C28" s="6"/>
    </row>
    <row r="29" spans="1:7" x14ac:dyDescent="0.2">
      <c r="A29" s="10" t="s">
        <v>11</v>
      </c>
      <c r="B29" s="53">
        <f>B28*C29</f>
        <v>614.63070796960017</v>
      </c>
      <c r="C29" s="6">
        <v>7.0000000000000007E-2</v>
      </c>
    </row>
    <row r="30" spans="1:7" ht="16" thickBot="1" x14ac:dyDescent="0.25">
      <c r="A30" s="11" t="s">
        <v>44</v>
      </c>
      <c r="B30" s="13">
        <f>B28+B29</f>
        <v>9395.0693932496015</v>
      </c>
      <c r="C30" s="6"/>
    </row>
    <row r="31" spans="1:7" x14ac:dyDescent="0.2">
      <c r="A31" s="10" t="s">
        <v>16</v>
      </c>
      <c r="B31" s="53">
        <f>B30*C31</f>
        <v>93.950693932496023</v>
      </c>
      <c r="C31" s="6">
        <v>0.01</v>
      </c>
    </row>
    <row r="32" spans="1:7" ht="16" thickBot="1" x14ac:dyDescent="0.25">
      <c r="A32" s="11" t="s">
        <v>44</v>
      </c>
      <c r="B32" s="13">
        <f>B30+B31</f>
        <v>9489.020087182098</v>
      </c>
      <c r="C32" s="6"/>
    </row>
    <row r="33" spans="1:9" ht="3.75" customHeight="1" thickBot="1" x14ac:dyDescent="0.25">
      <c r="A33" s="26"/>
      <c r="B33" s="27"/>
      <c r="C33" s="6"/>
    </row>
    <row r="34" spans="1:9" x14ac:dyDescent="0.2">
      <c r="A34" s="9" t="s">
        <v>17</v>
      </c>
      <c r="B34" s="57">
        <f>B32*C34</f>
        <v>0</v>
      </c>
      <c r="C34" s="6">
        <v>0</v>
      </c>
      <c r="G34" s="64" t="s">
        <v>83</v>
      </c>
      <c r="H34" s="64"/>
    </row>
    <row r="35" spans="1:9" x14ac:dyDescent="0.2">
      <c r="A35" s="10" t="s">
        <v>18</v>
      </c>
      <c r="B35" s="53">
        <f>B32*C35</f>
        <v>0</v>
      </c>
      <c r="C35" s="6">
        <v>0</v>
      </c>
      <c r="G35" s="16"/>
      <c r="H35" s="58" t="s">
        <v>85</v>
      </c>
    </row>
    <row r="36" spans="1:9" x14ac:dyDescent="0.2">
      <c r="A36" s="10" t="s">
        <v>19</v>
      </c>
      <c r="B36" s="53">
        <f>B32*C36</f>
        <v>0</v>
      </c>
      <c r="C36" s="6">
        <v>0</v>
      </c>
      <c r="G36" s="48"/>
      <c r="H36" s="58" t="s">
        <v>84</v>
      </c>
    </row>
    <row r="37" spans="1:9" ht="16" thickBot="1" x14ac:dyDescent="0.25">
      <c r="A37" s="28" t="s">
        <v>9</v>
      </c>
      <c r="B37" s="15">
        <f>B32+B34+B35+B36</f>
        <v>9489.020087182098</v>
      </c>
    </row>
    <row r="38" spans="1:9" ht="3.75" customHeight="1" thickBot="1" x14ac:dyDescent="0.25">
      <c r="A38" s="26"/>
      <c r="B38" s="27"/>
      <c r="C38" s="6"/>
    </row>
    <row r="39" spans="1:9" x14ac:dyDescent="0.2">
      <c r="A39" s="72" t="s">
        <v>21</v>
      </c>
      <c r="B39" s="73"/>
      <c r="G39" s="34" t="s">
        <v>81</v>
      </c>
      <c r="H39" s="34" t="s">
        <v>82</v>
      </c>
      <c r="I39" s="34" t="s">
        <v>5</v>
      </c>
    </row>
    <row r="40" spans="1:9" x14ac:dyDescent="0.2">
      <c r="A40" s="24" t="s">
        <v>9</v>
      </c>
      <c r="B40" s="48">
        <f>B37</f>
        <v>9489.020087182098</v>
      </c>
      <c r="E40" s="6"/>
      <c r="G40" s="16">
        <v>6404.71</v>
      </c>
      <c r="H40" s="48">
        <f>I40-G40</f>
        <v>3650.1400000000003</v>
      </c>
      <c r="I40" s="16">
        <v>10054.85</v>
      </c>
    </row>
    <row r="41" spans="1:9" x14ac:dyDescent="0.2">
      <c r="A41" s="24" t="s">
        <v>14</v>
      </c>
      <c r="B41" s="48">
        <f>B40*C41</f>
        <v>427.00590392319441</v>
      </c>
      <c r="C41" s="6">
        <v>4.4999999999999998E-2</v>
      </c>
      <c r="E41" s="6"/>
    </row>
    <row r="42" spans="1:9" ht="16" thickBot="1" x14ac:dyDescent="0.25">
      <c r="A42" s="8" t="s">
        <v>9</v>
      </c>
      <c r="B42" s="25">
        <f>B40+B41</f>
        <v>9916.0259911052926</v>
      </c>
      <c r="C42" s="6"/>
    </row>
    <row r="43" spans="1:9" x14ac:dyDescent="0.2">
      <c r="A43" s="24" t="s">
        <v>8</v>
      </c>
      <c r="B43" s="48">
        <f>(B42*0.35)*0.04</f>
        <v>138.82436387547409</v>
      </c>
      <c r="G43" s="59" t="s">
        <v>86</v>
      </c>
    </row>
    <row r="44" spans="1:9" ht="16" thickBot="1" x14ac:dyDescent="0.25">
      <c r="A44" s="8" t="s">
        <v>22</v>
      </c>
      <c r="B44" s="25">
        <f>B42+B43</f>
        <v>10054.850354980766</v>
      </c>
      <c r="G44" s="60" t="s">
        <v>87</v>
      </c>
    </row>
  </sheetData>
  <mergeCells count="13">
    <mergeCell ref="A1:B1"/>
    <mergeCell ref="A20:B20"/>
    <mergeCell ref="A26:B26"/>
    <mergeCell ref="A39:B39"/>
    <mergeCell ref="A2:B2"/>
    <mergeCell ref="G34:H34"/>
    <mergeCell ref="H4:I4"/>
    <mergeCell ref="H5:I5"/>
    <mergeCell ref="H9:I9"/>
    <mergeCell ref="H10:I10"/>
    <mergeCell ref="H6:I6"/>
    <mergeCell ref="H7:I7"/>
    <mergeCell ref="H8:I8"/>
  </mergeCells>
  <pageMargins left="0.7" right="0.7" top="0.75" bottom="0.75" header="0.3" footer="0.3"/>
  <pageSetup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CEDA1-0630-4456-8172-5B1069271A2D}">
  <dimension ref="A1:T68"/>
  <sheetViews>
    <sheetView tabSelected="1" workbookViewId="0">
      <selection activeCell="A2" sqref="A2:C16"/>
    </sheetView>
  </sheetViews>
  <sheetFormatPr baseColWidth="10" defaultColWidth="8.83203125" defaultRowHeight="15" x14ac:dyDescent="0.2"/>
  <cols>
    <col min="1" max="1" width="57.33203125" customWidth="1"/>
    <col min="2" max="3" width="14.6640625" customWidth="1"/>
    <col min="4" max="4" width="1.5" customWidth="1"/>
    <col min="5" max="5" width="7.6640625" customWidth="1"/>
    <col min="6" max="6" width="15.5" bestFit="1" customWidth="1"/>
    <col min="7" max="8" width="10.6640625" customWidth="1"/>
    <col min="9" max="9" width="12.6640625" customWidth="1"/>
    <col min="10" max="10" width="1.5" customWidth="1"/>
    <col min="12" max="12" width="15.5" bestFit="1" customWidth="1"/>
    <col min="13" max="14" width="10.6640625" customWidth="1"/>
    <col min="15" max="15" width="12.6640625" customWidth="1"/>
    <col min="20" max="20" width="11.5" bestFit="1" customWidth="1"/>
  </cols>
  <sheetData>
    <row r="1" spans="1:20" ht="44.5" customHeight="1" x14ac:dyDescent="0.2">
      <c r="A1" s="83" t="s">
        <v>23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</row>
    <row r="2" spans="1:20" ht="20.5" customHeight="1" x14ac:dyDescent="0.2">
      <c r="A2" s="80" t="s">
        <v>25</v>
      </c>
      <c r="B2" s="81"/>
      <c r="C2" s="81"/>
      <c r="D2" s="42"/>
      <c r="E2" s="81" t="s">
        <v>39</v>
      </c>
      <c r="F2" s="81"/>
      <c r="G2" s="81"/>
      <c r="H2" s="81"/>
      <c r="I2" s="82"/>
      <c r="J2" s="42"/>
      <c r="K2" s="80" t="s">
        <v>40</v>
      </c>
      <c r="L2" s="81"/>
      <c r="M2" s="81"/>
      <c r="N2" s="81"/>
      <c r="O2" s="82"/>
    </row>
    <row r="3" spans="1:20" ht="20.5" customHeight="1" x14ac:dyDescent="0.2">
      <c r="A3" s="17" t="s">
        <v>42</v>
      </c>
      <c r="B3" s="85">
        <f>B16+C16+B29+C29+B42+C42+B55+C55+B68+C68</f>
        <v>4100.7800000000007</v>
      </c>
      <c r="C3" s="86"/>
      <c r="D3" s="43"/>
      <c r="E3" s="81" t="s">
        <v>41</v>
      </c>
      <c r="F3" s="81"/>
      <c r="G3" s="81"/>
      <c r="H3" s="85">
        <f>I16+I29</f>
        <v>2578.0479999999998</v>
      </c>
      <c r="I3" s="86"/>
      <c r="J3" s="43"/>
      <c r="K3" s="80" t="s">
        <v>43</v>
      </c>
      <c r="L3" s="81"/>
      <c r="M3" s="81"/>
      <c r="N3" s="85">
        <f>O16+O29</f>
        <v>0</v>
      </c>
      <c r="O3" s="86"/>
    </row>
    <row r="4" spans="1:20" ht="15.5" customHeight="1" x14ac:dyDescent="0.2">
      <c r="A4" s="3" t="s">
        <v>0</v>
      </c>
      <c r="B4" s="3" t="s">
        <v>26</v>
      </c>
      <c r="C4" s="18" t="s">
        <v>27</v>
      </c>
      <c r="D4" s="43"/>
      <c r="E4" s="19" t="s">
        <v>28</v>
      </c>
      <c r="F4" s="19" t="s">
        <v>29</v>
      </c>
      <c r="G4" s="19" t="s">
        <v>37</v>
      </c>
      <c r="H4" s="19" t="s">
        <v>38</v>
      </c>
      <c r="I4" s="3" t="s">
        <v>9</v>
      </c>
      <c r="J4" s="43"/>
      <c r="K4" s="19" t="s">
        <v>28</v>
      </c>
      <c r="L4" s="19" t="s">
        <v>29</v>
      </c>
      <c r="M4" s="19" t="s">
        <v>37</v>
      </c>
      <c r="N4" s="19" t="s">
        <v>38</v>
      </c>
      <c r="O4" s="3" t="s">
        <v>9</v>
      </c>
    </row>
    <row r="5" spans="1:20" ht="36" customHeight="1" x14ac:dyDescent="0.2">
      <c r="A5" s="63" t="s">
        <v>98</v>
      </c>
      <c r="B5" s="21">
        <v>989.01</v>
      </c>
      <c r="C5" s="22"/>
      <c r="D5" s="43"/>
      <c r="E5" s="20">
        <v>1</v>
      </c>
      <c r="F5" s="40" t="s">
        <v>30</v>
      </c>
      <c r="G5" s="20">
        <v>4</v>
      </c>
      <c r="H5" s="41">
        <v>69.319999999999993</v>
      </c>
      <c r="I5" s="48">
        <f>E5*G5*H5</f>
        <v>277.27999999999997</v>
      </c>
      <c r="J5" s="43"/>
      <c r="K5" s="20"/>
      <c r="L5" s="40" t="s">
        <v>30</v>
      </c>
      <c r="M5" s="20"/>
      <c r="N5" s="41">
        <f>1.5*H5</f>
        <v>103.97999999999999</v>
      </c>
      <c r="O5" s="39">
        <f>K5*N5*M5</f>
        <v>0</v>
      </c>
    </row>
    <row r="6" spans="1:20" ht="14.5" customHeight="1" x14ac:dyDescent="0.2">
      <c r="A6" s="63" t="s">
        <v>99</v>
      </c>
      <c r="B6" s="21">
        <v>593.01</v>
      </c>
      <c r="C6" s="22"/>
      <c r="D6" s="43"/>
      <c r="E6" s="20"/>
      <c r="F6" s="40" t="s">
        <v>80</v>
      </c>
      <c r="G6" s="20"/>
      <c r="H6" s="41">
        <v>41.79</v>
      </c>
      <c r="I6" s="48">
        <f t="shared" ref="I6:I15" si="0">E6*G6*H6</f>
        <v>0</v>
      </c>
      <c r="J6" s="43"/>
      <c r="K6" s="20"/>
      <c r="L6" s="40" t="s">
        <v>80</v>
      </c>
      <c r="M6" s="20"/>
      <c r="N6" s="41">
        <f t="shared" ref="N6" si="1">1.5*H6</f>
        <v>62.685000000000002</v>
      </c>
      <c r="O6" s="39">
        <f t="shared" ref="O6:O15" si="2">K6*N6*M6</f>
        <v>0</v>
      </c>
    </row>
    <row r="7" spans="1:20" ht="14.5" customHeight="1" x14ac:dyDescent="0.2">
      <c r="A7" s="1" t="s">
        <v>100</v>
      </c>
      <c r="B7" s="21">
        <v>425.04</v>
      </c>
      <c r="C7" s="22"/>
      <c r="D7" s="43"/>
      <c r="E7" s="20">
        <v>1</v>
      </c>
      <c r="F7" s="40" t="s">
        <v>31</v>
      </c>
      <c r="G7" s="20">
        <v>32</v>
      </c>
      <c r="H7" s="41">
        <v>26.31</v>
      </c>
      <c r="I7" s="48">
        <f t="shared" ref="I7:I14" si="3">E7*G7*H7</f>
        <v>841.92</v>
      </c>
      <c r="J7" s="43"/>
      <c r="K7" s="20"/>
      <c r="L7" s="40" t="s">
        <v>31</v>
      </c>
      <c r="M7" s="20"/>
      <c r="N7" s="41">
        <f t="shared" ref="N7:N14" si="4">1.5*H7</f>
        <v>39.464999999999996</v>
      </c>
      <c r="O7" s="39">
        <f t="shared" ref="O7:O14" si="5">K7*N7*M7</f>
        <v>0</v>
      </c>
    </row>
    <row r="8" spans="1:20" ht="21" customHeight="1" x14ac:dyDescent="0.2">
      <c r="A8" s="63" t="s">
        <v>101</v>
      </c>
      <c r="B8" s="21">
        <v>394.68</v>
      </c>
      <c r="C8" s="22"/>
      <c r="D8" s="43"/>
      <c r="E8" s="20"/>
      <c r="F8" s="40" t="s">
        <v>32</v>
      </c>
      <c r="G8" s="20"/>
      <c r="H8" s="41">
        <v>29.75</v>
      </c>
      <c r="I8" s="48">
        <f t="shared" si="3"/>
        <v>0</v>
      </c>
      <c r="J8" s="43"/>
      <c r="K8" s="20"/>
      <c r="L8" s="40" t="s">
        <v>32</v>
      </c>
      <c r="M8" s="20"/>
      <c r="N8" s="41">
        <f t="shared" si="4"/>
        <v>44.625</v>
      </c>
      <c r="O8" s="39">
        <f t="shared" si="5"/>
        <v>0</v>
      </c>
      <c r="R8" t="s">
        <v>38</v>
      </c>
    </row>
    <row r="9" spans="1:20" ht="14.5" customHeight="1" x14ac:dyDescent="0.2">
      <c r="A9" s="1" t="s">
        <v>102</v>
      </c>
      <c r="B9" s="21">
        <v>642.84</v>
      </c>
      <c r="C9" s="22"/>
      <c r="D9" s="43"/>
      <c r="E9" s="20"/>
      <c r="F9" s="40" t="s">
        <v>35</v>
      </c>
      <c r="G9" s="20"/>
      <c r="H9" s="41">
        <v>28.03</v>
      </c>
      <c r="I9" s="48">
        <f t="shared" si="3"/>
        <v>0</v>
      </c>
      <c r="J9" s="43"/>
      <c r="K9" s="20"/>
      <c r="L9" s="40" t="s">
        <v>35</v>
      </c>
      <c r="M9" s="20"/>
      <c r="N9" s="41">
        <f t="shared" si="4"/>
        <v>42.045000000000002</v>
      </c>
      <c r="O9" s="39">
        <f t="shared" si="5"/>
        <v>0</v>
      </c>
      <c r="Q9" t="s">
        <v>91</v>
      </c>
      <c r="R9">
        <v>18</v>
      </c>
      <c r="S9">
        <v>4</v>
      </c>
      <c r="T9">
        <f>R9*S9</f>
        <v>72</v>
      </c>
    </row>
    <row r="10" spans="1:20" ht="14.5" customHeight="1" x14ac:dyDescent="0.2">
      <c r="A10" s="1" t="s">
        <v>103</v>
      </c>
      <c r="B10" s="21">
        <v>466.4</v>
      </c>
      <c r="C10" s="22"/>
      <c r="D10" s="43"/>
      <c r="E10" s="20">
        <v>2</v>
      </c>
      <c r="F10" s="40" t="s">
        <v>33</v>
      </c>
      <c r="G10" s="20">
        <v>32</v>
      </c>
      <c r="H10" s="41">
        <v>21.15</v>
      </c>
      <c r="I10" s="48">
        <f t="shared" si="3"/>
        <v>1353.6</v>
      </c>
      <c r="J10" s="43"/>
      <c r="K10" s="20"/>
      <c r="L10" s="40" t="s">
        <v>33</v>
      </c>
      <c r="M10" s="20"/>
      <c r="N10" s="41">
        <f t="shared" si="4"/>
        <v>31.724999999999998</v>
      </c>
      <c r="O10" s="39">
        <f t="shared" si="5"/>
        <v>0</v>
      </c>
      <c r="Q10" t="s">
        <v>92</v>
      </c>
      <c r="R10">
        <v>13.5</v>
      </c>
      <c r="S10">
        <v>0</v>
      </c>
      <c r="T10">
        <f t="shared" ref="T10:T13" si="6">R10*S10</f>
        <v>0</v>
      </c>
    </row>
    <row r="11" spans="1:20" ht="14.5" customHeight="1" x14ac:dyDescent="0.2">
      <c r="A11" s="63" t="s">
        <v>104</v>
      </c>
      <c r="B11" s="21">
        <v>169.8</v>
      </c>
      <c r="C11" s="22"/>
      <c r="D11" s="43"/>
      <c r="E11" s="20"/>
      <c r="F11" s="40" t="s">
        <v>34</v>
      </c>
      <c r="G11" s="20"/>
      <c r="H11" s="41">
        <v>22.87</v>
      </c>
      <c r="I11" s="48">
        <f t="shared" si="3"/>
        <v>0</v>
      </c>
      <c r="J11" s="43"/>
      <c r="K11" s="20"/>
      <c r="L11" s="40" t="s">
        <v>34</v>
      </c>
      <c r="M11" s="20"/>
      <c r="N11" s="41">
        <f t="shared" si="4"/>
        <v>34.305</v>
      </c>
      <c r="O11" s="39">
        <f t="shared" si="5"/>
        <v>0</v>
      </c>
      <c r="Q11" t="s">
        <v>93</v>
      </c>
      <c r="R11">
        <v>11</v>
      </c>
      <c r="S11">
        <v>4</v>
      </c>
      <c r="T11">
        <f t="shared" si="6"/>
        <v>44</v>
      </c>
    </row>
    <row r="12" spans="1:20" ht="14.5" customHeight="1" x14ac:dyDescent="0.2">
      <c r="A12" s="1" t="s">
        <v>105</v>
      </c>
      <c r="B12" s="21">
        <v>420</v>
      </c>
      <c r="C12" s="22"/>
      <c r="D12" s="43"/>
      <c r="E12" s="20"/>
      <c r="F12" s="40" t="s">
        <v>33</v>
      </c>
      <c r="G12" s="20"/>
      <c r="H12" s="41">
        <v>21.15</v>
      </c>
      <c r="I12" s="48">
        <f t="shared" si="3"/>
        <v>0</v>
      </c>
      <c r="J12" s="43"/>
      <c r="K12" s="20"/>
      <c r="L12" s="40" t="s">
        <v>33</v>
      </c>
      <c r="M12" s="20"/>
      <c r="N12" s="41">
        <f t="shared" si="4"/>
        <v>31.724999999999998</v>
      </c>
      <c r="O12" s="39">
        <f t="shared" si="5"/>
        <v>0</v>
      </c>
      <c r="Q12" t="s">
        <v>36</v>
      </c>
      <c r="R12">
        <v>17</v>
      </c>
      <c r="S12">
        <v>2</v>
      </c>
      <c r="T12">
        <f t="shared" si="6"/>
        <v>34</v>
      </c>
    </row>
    <row r="13" spans="1:20" ht="14.5" customHeight="1" x14ac:dyDescent="0.2">
      <c r="A13" s="1"/>
      <c r="B13" s="21"/>
      <c r="C13" s="22"/>
      <c r="D13" s="43"/>
      <c r="E13" s="20">
        <v>1</v>
      </c>
      <c r="F13" s="40" t="s">
        <v>36</v>
      </c>
      <c r="G13" s="20">
        <v>4</v>
      </c>
      <c r="H13" s="41">
        <v>26.312000000000001</v>
      </c>
      <c r="I13" s="48">
        <f t="shared" si="3"/>
        <v>105.248</v>
      </c>
      <c r="J13" s="43"/>
      <c r="K13" s="20"/>
      <c r="L13" s="40" t="s">
        <v>36</v>
      </c>
      <c r="M13" s="20"/>
      <c r="N13" s="41">
        <f t="shared" si="4"/>
        <v>39.468000000000004</v>
      </c>
      <c r="O13" s="39">
        <f t="shared" si="5"/>
        <v>0</v>
      </c>
      <c r="Q13" t="s">
        <v>94</v>
      </c>
      <c r="R13">
        <v>38</v>
      </c>
      <c r="T13">
        <f t="shared" si="6"/>
        <v>0</v>
      </c>
    </row>
    <row r="14" spans="1:20" ht="14.5" customHeight="1" x14ac:dyDescent="0.2">
      <c r="A14" s="1"/>
      <c r="B14" s="21"/>
      <c r="C14" s="22"/>
      <c r="D14" s="43"/>
      <c r="E14" s="20"/>
      <c r="F14" s="40" t="s">
        <v>71</v>
      </c>
      <c r="G14" s="20"/>
      <c r="H14" s="41">
        <v>22.87</v>
      </c>
      <c r="I14" s="48">
        <f t="shared" si="3"/>
        <v>0</v>
      </c>
      <c r="J14" s="43"/>
      <c r="K14" s="20"/>
      <c r="L14" s="40" t="s">
        <v>71</v>
      </c>
      <c r="M14" s="20"/>
      <c r="N14" s="41">
        <f t="shared" si="4"/>
        <v>34.305</v>
      </c>
      <c r="O14" s="39">
        <f t="shared" si="5"/>
        <v>0</v>
      </c>
      <c r="T14">
        <f>SUM(T9:T13)</f>
        <v>150</v>
      </c>
    </row>
    <row r="15" spans="1:20" ht="14.5" customHeight="1" x14ac:dyDescent="0.2">
      <c r="A15" s="2"/>
      <c r="B15" s="21"/>
      <c r="C15" s="22"/>
      <c r="D15" s="43"/>
      <c r="E15" s="20"/>
      <c r="F15" s="40"/>
      <c r="G15" s="20"/>
      <c r="H15" s="41"/>
      <c r="I15" s="48">
        <f t="shared" si="0"/>
        <v>0</v>
      </c>
      <c r="J15" s="43"/>
      <c r="K15" s="20"/>
      <c r="L15" s="40"/>
      <c r="M15" s="20"/>
      <c r="N15" s="41"/>
      <c r="O15" s="39">
        <f t="shared" si="2"/>
        <v>0</v>
      </c>
    </row>
    <row r="16" spans="1:20" ht="14.5" customHeight="1" x14ac:dyDescent="0.2">
      <c r="A16" s="7" t="s">
        <v>9</v>
      </c>
      <c r="B16" s="39">
        <f>SUM(B5:B15)</f>
        <v>4100.7800000000007</v>
      </c>
      <c r="C16" s="49">
        <f>SUM(C5:C15)</f>
        <v>0</v>
      </c>
      <c r="D16" s="43"/>
      <c r="E16" s="76" t="s">
        <v>5</v>
      </c>
      <c r="F16" s="76"/>
      <c r="G16" s="76"/>
      <c r="H16" s="77"/>
      <c r="I16" s="48">
        <f>SUM(I5:I15)</f>
        <v>2578.0479999999998</v>
      </c>
      <c r="J16" s="43"/>
      <c r="K16" s="78" t="s">
        <v>5</v>
      </c>
      <c r="L16" s="76"/>
      <c r="M16" s="76"/>
      <c r="N16" s="77"/>
      <c r="O16" s="48">
        <f>SUM(O5:O15)</f>
        <v>0</v>
      </c>
    </row>
    <row r="17" spans="1:20" ht="15.5" customHeight="1" x14ac:dyDescent="0.2">
      <c r="A17" s="3" t="s">
        <v>0</v>
      </c>
      <c r="B17" s="3" t="s">
        <v>26</v>
      </c>
      <c r="C17" s="18" t="s">
        <v>27</v>
      </c>
      <c r="D17" s="42"/>
      <c r="E17" s="19" t="s">
        <v>28</v>
      </c>
      <c r="F17" s="19" t="s">
        <v>29</v>
      </c>
      <c r="G17" s="19" t="s">
        <v>37</v>
      </c>
      <c r="H17" s="19" t="s">
        <v>38</v>
      </c>
      <c r="I17" s="3" t="s">
        <v>9</v>
      </c>
      <c r="J17" s="42"/>
      <c r="K17" s="19" t="s">
        <v>28</v>
      </c>
      <c r="L17" s="19" t="s">
        <v>29</v>
      </c>
      <c r="M17" s="19" t="s">
        <v>37</v>
      </c>
      <c r="N17" s="19" t="s">
        <v>38</v>
      </c>
      <c r="O17" s="3" t="s">
        <v>9</v>
      </c>
      <c r="S17" t="s">
        <v>95</v>
      </c>
      <c r="T17" s="61">
        <f>H3-T14</f>
        <v>2428.0479999999998</v>
      </c>
    </row>
    <row r="18" spans="1:20" ht="14.5" customHeight="1" x14ac:dyDescent="0.2">
      <c r="A18" s="1"/>
      <c r="B18" s="21"/>
      <c r="C18" s="22"/>
      <c r="D18" s="43"/>
      <c r="E18" s="20"/>
      <c r="F18" s="40" t="s">
        <v>30</v>
      </c>
      <c r="G18" s="20"/>
      <c r="H18" s="41">
        <v>69.319999999999993</v>
      </c>
      <c r="I18" s="48">
        <f>E18*G18*H18</f>
        <v>0</v>
      </c>
      <c r="J18" s="43"/>
      <c r="K18" s="20"/>
      <c r="L18" s="40" t="s">
        <v>30</v>
      </c>
      <c r="M18" s="20"/>
      <c r="N18" s="41">
        <f>1.5*H18</f>
        <v>103.97999999999999</v>
      </c>
      <c r="O18" s="39">
        <f>K18*N18*M18</f>
        <v>0</v>
      </c>
    </row>
    <row r="19" spans="1:20" ht="14.5" customHeight="1" x14ac:dyDescent="0.2">
      <c r="A19" s="1"/>
      <c r="B19" s="21"/>
      <c r="C19" s="22"/>
      <c r="D19" s="43"/>
      <c r="E19" s="20"/>
      <c r="F19" s="40" t="s">
        <v>80</v>
      </c>
      <c r="G19" s="20"/>
      <c r="H19" s="41">
        <v>41.79</v>
      </c>
      <c r="I19" s="48">
        <f t="shared" ref="I19:I28" si="7">E19*G19*H19</f>
        <v>0</v>
      </c>
      <c r="J19" s="43"/>
      <c r="K19" s="20"/>
      <c r="L19" s="40" t="s">
        <v>80</v>
      </c>
      <c r="M19" s="20"/>
      <c r="N19" s="41">
        <f t="shared" ref="N19:N27" si="8">1.5*H19</f>
        <v>62.685000000000002</v>
      </c>
      <c r="O19" s="39">
        <f t="shared" ref="O19:O28" si="9">K19*N19*M19</f>
        <v>0</v>
      </c>
    </row>
    <row r="20" spans="1:20" ht="14.5" customHeight="1" x14ac:dyDescent="0.2">
      <c r="A20" s="1"/>
      <c r="B20" s="21"/>
      <c r="C20" s="22"/>
      <c r="D20" s="43"/>
      <c r="E20" s="20"/>
      <c r="F20" s="40" t="s">
        <v>31</v>
      </c>
      <c r="G20" s="20"/>
      <c r="H20" s="41">
        <v>26.31</v>
      </c>
      <c r="I20" s="48">
        <f t="shared" si="7"/>
        <v>0</v>
      </c>
      <c r="J20" s="43"/>
      <c r="K20" s="20"/>
      <c r="L20" s="40" t="s">
        <v>31</v>
      </c>
      <c r="M20" s="20"/>
      <c r="N20" s="41">
        <f t="shared" si="8"/>
        <v>39.464999999999996</v>
      </c>
      <c r="O20" s="39">
        <f t="shared" si="9"/>
        <v>0</v>
      </c>
      <c r="Q20" t="s">
        <v>91</v>
      </c>
      <c r="R20">
        <v>18</v>
      </c>
      <c r="S20">
        <v>8</v>
      </c>
      <c r="T20">
        <f>R20*S20</f>
        <v>144</v>
      </c>
    </row>
    <row r="21" spans="1:20" ht="14.5" customHeight="1" x14ac:dyDescent="0.2">
      <c r="A21" s="1"/>
      <c r="B21" s="21"/>
      <c r="C21" s="22"/>
      <c r="D21" s="43"/>
      <c r="E21" s="20"/>
      <c r="F21" s="40" t="s">
        <v>32</v>
      </c>
      <c r="G21" s="20"/>
      <c r="H21" s="41">
        <v>29.75</v>
      </c>
      <c r="I21" s="48">
        <f t="shared" si="7"/>
        <v>0</v>
      </c>
      <c r="J21" s="43"/>
      <c r="K21" s="20"/>
      <c r="L21" s="40" t="s">
        <v>32</v>
      </c>
      <c r="M21" s="20"/>
      <c r="N21" s="41">
        <f t="shared" si="8"/>
        <v>44.625</v>
      </c>
      <c r="O21" s="39">
        <f t="shared" si="9"/>
        <v>0</v>
      </c>
      <c r="Q21" t="s">
        <v>92</v>
      </c>
      <c r="R21">
        <v>13.5</v>
      </c>
      <c r="S21">
        <v>8</v>
      </c>
      <c r="T21">
        <f t="shared" ref="T21:T24" si="10">R21*S21</f>
        <v>108</v>
      </c>
    </row>
    <row r="22" spans="1:20" ht="14.5" customHeight="1" x14ac:dyDescent="0.2">
      <c r="A22" s="1"/>
      <c r="B22" s="21"/>
      <c r="C22" s="22"/>
      <c r="D22" s="43"/>
      <c r="E22" s="20"/>
      <c r="F22" s="40" t="s">
        <v>35</v>
      </c>
      <c r="G22" s="20"/>
      <c r="H22" s="41">
        <v>28.03</v>
      </c>
      <c r="I22" s="48">
        <f t="shared" si="7"/>
        <v>0</v>
      </c>
      <c r="J22" s="43"/>
      <c r="K22" s="20"/>
      <c r="L22" s="40" t="s">
        <v>35</v>
      </c>
      <c r="M22" s="20"/>
      <c r="N22" s="41">
        <f t="shared" si="8"/>
        <v>42.045000000000002</v>
      </c>
      <c r="O22" s="39">
        <f t="shared" si="9"/>
        <v>0</v>
      </c>
      <c r="Q22" t="s">
        <v>93</v>
      </c>
      <c r="R22">
        <v>11</v>
      </c>
      <c r="S22">
        <v>8</v>
      </c>
      <c r="T22">
        <f t="shared" si="10"/>
        <v>88</v>
      </c>
    </row>
    <row r="23" spans="1:20" ht="14.5" customHeight="1" x14ac:dyDescent="0.2">
      <c r="A23" s="2"/>
      <c r="B23" s="21"/>
      <c r="C23" s="22"/>
      <c r="D23" s="43"/>
      <c r="E23" s="20"/>
      <c r="F23" s="40" t="s">
        <v>33</v>
      </c>
      <c r="G23" s="20"/>
      <c r="H23" s="41">
        <v>21.15</v>
      </c>
      <c r="I23" s="48">
        <f t="shared" si="7"/>
        <v>0</v>
      </c>
      <c r="J23" s="43"/>
      <c r="K23" s="20"/>
      <c r="L23" s="40" t="s">
        <v>33</v>
      </c>
      <c r="M23" s="20"/>
      <c r="N23" s="41">
        <f t="shared" si="8"/>
        <v>31.724999999999998</v>
      </c>
      <c r="O23" s="39">
        <f t="shared" si="9"/>
        <v>0</v>
      </c>
      <c r="Q23" t="s">
        <v>36</v>
      </c>
      <c r="R23">
        <v>17</v>
      </c>
      <c r="S23">
        <v>4</v>
      </c>
      <c r="T23">
        <f t="shared" si="10"/>
        <v>68</v>
      </c>
    </row>
    <row r="24" spans="1:20" ht="14.5" customHeight="1" x14ac:dyDescent="0.2">
      <c r="A24" s="1"/>
      <c r="B24" s="21"/>
      <c r="C24" s="22"/>
      <c r="D24" s="43"/>
      <c r="E24" s="20"/>
      <c r="F24" s="40" t="s">
        <v>34</v>
      </c>
      <c r="G24" s="20"/>
      <c r="H24" s="41">
        <v>22.87</v>
      </c>
      <c r="I24" s="48">
        <f t="shared" si="7"/>
        <v>0</v>
      </c>
      <c r="J24" s="43"/>
      <c r="K24" s="20"/>
      <c r="L24" s="40" t="s">
        <v>34</v>
      </c>
      <c r="M24" s="20"/>
      <c r="N24" s="41">
        <f t="shared" si="8"/>
        <v>34.305</v>
      </c>
      <c r="O24" s="39">
        <f t="shared" si="9"/>
        <v>0</v>
      </c>
      <c r="Q24" t="s">
        <v>94</v>
      </c>
      <c r="R24">
        <v>38</v>
      </c>
      <c r="S24">
        <v>2</v>
      </c>
      <c r="T24">
        <f t="shared" si="10"/>
        <v>76</v>
      </c>
    </row>
    <row r="25" spans="1:20" ht="14.5" customHeight="1" x14ac:dyDescent="0.2">
      <c r="A25" s="1"/>
      <c r="B25" s="21"/>
      <c r="C25" s="22"/>
      <c r="D25" s="43"/>
      <c r="E25" s="20"/>
      <c r="F25" s="40" t="s">
        <v>33</v>
      </c>
      <c r="G25" s="20"/>
      <c r="H25" s="41">
        <v>21.15</v>
      </c>
      <c r="I25" s="48">
        <f t="shared" si="7"/>
        <v>0</v>
      </c>
      <c r="J25" s="43"/>
      <c r="K25" s="20"/>
      <c r="L25" s="40" t="s">
        <v>33</v>
      </c>
      <c r="M25" s="20"/>
      <c r="N25" s="41">
        <f t="shared" si="8"/>
        <v>31.724999999999998</v>
      </c>
      <c r="O25" s="39">
        <f t="shared" si="9"/>
        <v>0</v>
      </c>
      <c r="T25">
        <f>SUM(T20:T24)</f>
        <v>484</v>
      </c>
    </row>
    <row r="26" spans="1:20" ht="14.5" customHeight="1" x14ac:dyDescent="0.2">
      <c r="A26" s="1"/>
      <c r="B26" s="21"/>
      <c r="C26" s="22"/>
      <c r="D26" s="43"/>
      <c r="E26" s="20"/>
      <c r="F26" s="40" t="s">
        <v>36</v>
      </c>
      <c r="G26" s="20"/>
      <c r="H26" s="41">
        <v>26.312000000000001</v>
      </c>
      <c r="I26" s="48">
        <f t="shared" si="7"/>
        <v>0</v>
      </c>
      <c r="J26" s="43"/>
      <c r="K26" s="20"/>
      <c r="L26" s="40" t="s">
        <v>36</v>
      </c>
      <c r="M26" s="20"/>
      <c r="N26" s="41">
        <f t="shared" si="8"/>
        <v>39.468000000000004</v>
      </c>
      <c r="O26" s="39">
        <f t="shared" si="9"/>
        <v>0</v>
      </c>
    </row>
    <row r="27" spans="1:20" ht="14.5" customHeight="1" x14ac:dyDescent="0.2">
      <c r="A27" s="1"/>
      <c r="B27" s="21"/>
      <c r="C27" s="22"/>
      <c r="D27" s="43"/>
      <c r="E27" s="20"/>
      <c r="F27" s="40" t="s">
        <v>71</v>
      </c>
      <c r="G27" s="20"/>
      <c r="H27" s="41">
        <v>22.87</v>
      </c>
      <c r="I27" s="48">
        <f t="shared" si="7"/>
        <v>0</v>
      </c>
      <c r="J27" s="43"/>
      <c r="K27" s="20"/>
      <c r="L27" s="40" t="s">
        <v>71</v>
      </c>
      <c r="M27" s="20"/>
      <c r="N27" s="41">
        <f t="shared" si="8"/>
        <v>34.305</v>
      </c>
      <c r="O27" s="39">
        <f t="shared" si="9"/>
        <v>0</v>
      </c>
    </row>
    <row r="28" spans="1:20" ht="14.5" customHeight="1" x14ac:dyDescent="0.2">
      <c r="A28" s="1"/>
      <c r="B28" s="21"/>
      <c r="C28" s="22"/>
      <c r="D28" s="43"/>
      <c r="E28" s="20"/>
      <c r="F28" s="40"/>
      <c r="G28" s="20"/>
      <c r="H28" s="41"/>
      <c r="I28" s="48">
        <f t="shared" si="7"/>
        <v>0</v>
      </c>
      <c r="J28" s="43"/>
      <c r="K28" s="20"/>
      <c r="L28" s="40"/>
      <c r="M28" s="20"/>
      <c r="N28" s="41"/>
      <c r="O28" s="39">
        <f t="shared" si="9"/>
        <v>0</v>
      </c>
    </row>
    <row r="29" spans="1:20" ht="14.5" customHeight="1" x14ac:dyDescent="0.2">
      <c r="A29" s="7" t="s">
        <v>9</v>
      </c>
      <c r="B29" s="39">
        <f>SUM(B18:B28)</f>
        <v>0</v>
      </c>
      <c r="C29" s="49">
        <f>SUM(C18:C28)</f>
        <v>0</v>
      </c>
      <c r="D29" s="44"/>
      <c r="E29" s="76" t="s">
        <v>5</v>
      </c>
      <c r="F29" s="76"/>
      <c r="G29" s="76"/>
      <c r="H29" s="77"/>
      <c r="I29" s="48">
        <f>SUM(I18:I28)</f>
        <v>0</v>
      </c>
      <c r="J29" s="44"/>
      <c r="K29" s="78" t="s">
        <v>5</v>
      </c>
      <c r="L29" s="76"/>
      <c r="M29" s="76"/>
      <c r="N29" s="77"/>
      <c r="O29" s="48">
        <f>SUM(O18:O28)</f>
        <v>0</v>
      </c>
      <c r="Q29" s="79" t="s">
        <v>96</v>
      </c>
      <c r="R29" s="79"/>
      <c r="S29" s="79"/>
      <c r="T29" s="62">
        <f>H3/T25</f>
        <v>5.326545454545454</v>
      </c>
    </row>
    <row r="30" spans="1:20" ht="15.5" customHeight="1" x14ac:dyDescent="0.2">
      <c r="A30" s="3" t="s">
        <v>0</v>
      </c>
      <c r="B30" s="3" t="s">
        <v>26</v>
      </c>
      <c r="C30" s="18" t="s">
        <v>27</v>
      </c>
      <c r="D30" s="35"/>
      <c r="E30" s="19" t="s">
        <v>28</v>
      </c>
      <c r="F30" s="19" t="s">
        <v>29</v>
      </c>
      <c r="G30" s="19" t="s">
        <v>37</v>
      </c>
      <c r="H30" s="19" t="s">
        <v>38</v>
      </c>
      <c r="I30" s="3" t="s">
        <v>9</v>
      </c>
      <c r="J30" s="35"/>
      <c r="K30" s="19" t="s">
        <v>28</v>
      </c>
      <c r="L30" s="19" t="s">
        <v>29</v>
      </c>
      <c r="M30" s="19" t="s">
        <v>37</v>
      </c>
      <c r="N30" s="19" t="s">
        <v>38</v>
      </c>
      <c r="O30" s="3" t="s">
        <v>9</v>
      </c>
    </row>
    <row r="31" spans="1:20" ht="14.5" customHeight="1" x14ac:dyDescent="0.2">
      <c r="A31" s="1"/>
      <c r="B31" s="21"/>
      <c r="C31" s="22"/>
      <c r="D31" s="36"/>
      <c r="E31" s="20"/>
      <c r="F31" s="40" t="s">
        <v>30</v>
      </c>
      <c r="G31" s="20"/>
      <c r="H31" s="41">
        <v>69.319999999999993</v>
      </c>
      <c r="I31" s="48">
        <f>E31*G31*H31</f>
        <v>0</v>
      </c>
      <c r="J31" s="36"/>
      <c r="K31" s="20"/>
      <c r="L31" s="40" t="s">
        <v>30</v>
      </c>
      <c r="M31" s="20"/>
      <c r="N31" s="41">
        <f>1.5*H31</f>
        <v>103.97999999999999</v>
      </c>
      <c r="O31" s="39">
        <f>K31*N31*M31</f>
        <v>0</v>
      </c>
    </row>
    <row r="32" spans="1:20" ht="14.5" customHeight="1" x14ac:dyDescent="0.2">
      <c r="A32" s="1"/>
      <c r="B32" s="21"/>
      <c r="C32" s="22"/>
      <c r="D32" s="36"/>
      <c r="E32" s="20"/>
      <c r="F32" s="40" t="s">
        <v>80</v>
      </c>
      <c r="G32" s="20"/>
      <c r="H32" s="41">
        <v>41.79</v>
      </c>
      <c r="I32" s="48">
        <f t="shared" ref="I32:I41" si="11">E32*G32*H32</f>
        <v>0</v>
      </c>
      <c r="J32" s="36"/>
      <c r="K32" s="20"/>
      <c r="L32" s="40" t="s">
        <v>80</v>
      </c>
      <c r="M32" s="20"/>
      <c r="N32" s="41">
        <f t="shared" ref="N32:N40" si="12">1.5*H32</f>
        <v>62.685000000000002</v>
      </c>
      <c r="O32" s="39">
        <f t="shared" ref="O32:O41" si="13">K32*N32*M32</f>
        <v>0</v>
      </c>
    </row>
    <row r="33" spans="1:15" ht="14.5" customHeight="1" x14ac:dyDescent="0.2">
      <c r="A33" s="1"/>
      <c r="B33" s="21"/>
      <c r="C33" s="22"/>
      <c r="D33" s="36"/>
      <c r="E33" s="20"/>
      <c r="F33" s="40" t="s">
        <v>31</v>
      </c>
      <c r="G33" s="20"/>
      <c r="H33" s="41">
        <v>26.31</v>
      </c>
      <c r="I33" s="48">
        <f t="shared" si="11"/>
        <v>0</v>
      </c>
      <c r="J33" s="36"/>
      <c r="K33" s="20"/>
      <c r="L33" s="40" t="s">
        <v>31</v>
      </c>
      <c r="M33" s="20"/>
      <c r="N33" s="41">
        <f t="shared" si="12"/>
        <v>39.464999999999996</v>
      </c>
      <c r="O33" s="39">
        <f t="shared" si="13"/>
        <v>0</v>
      </c>
    </row>
    <row r="34" spans="1:15" ht="14.5" customHeight="1" x14ac:dyDescent="0.2">
      <c r="A34" s="1"/>
      <c r="B34" s="21"/>
      <c r="C34" s="22"/>
      <c r="D34" s="36"/>
      <c r="E34" s="20"/>
      <c r="F34" s="40" t="s">
        <v>32</v>
      </c>
      <c r="G34" s="20"/>
      <c r="H34" s="41">
        <v>29.75</v>
      </c>
      <c r="I34" s="48">
        <f t="shared" si="11"/>
        <v>0</v>
      </c>
      <c r="J34" s="36"/>
      <c r="K34" s="20"/>
      <c r="L34" s="40" t="s">
        <v>32</v>
      </c>
      <c r="M34" s="20"/>
      <c r="N34" s="41">
        <f t="shared" si="12"/>
        <v>44.625</v>
      </c>
      <c r="O34" s="39">
        <f t="shared" si="13"/>
        <v>0</v>
      </c>
    </row>
    <row r="35" spans="1:15" ht="14.5" customHeight="1" x14ac:dyDescent="0.2">
      <c r="A35" s="1"/>
      <c r="B35" s="21"/>
      <c r="C35" s="22"/>
      <c r="D35" s="36"/>
      <c r="E35" s="20"/>
      <c r="F35" s="40" t="s">
        <v>35</v>
      </c>
      <c r="G35" s="20"/>
      <c r="H35" s="41">
        <v>28.03</v>
      </c>
      <c r="I35" s="48">
        <f t="shared" si="11"/>
        <v>0</v>
      </c>
      <c r="J35" s="36"/>
      <c r="K35" s="20"/>
      <c r="L35" s="40" t="s">
        <v>35</v>
      </c>
      <c r="M35" s="20"/>
      <c r="N35" s="41">
        <f t="shared" si="12"/>
        <v>42.045000000000002</v>
      </c>
      <c r="O35" s="39">
        <f t="shared" si="13"/>
        <v>0</v>
      </c>
    </row>
    <row r="36" spans="1:15" ht="14.5" customHeight="1" x14ac:dyDescent="0.2">
      <c r="A36" s="2"/>
      <c r="B36" s="21"/>
      <c r="C36" s="22"/>
      <c r="D36" s="36"/>
      <c r="E36" s="20"/>
      <c r="F36" s="40" t="s">
        <v>33</v>
      </c>
      <c r="G36" s="20"/>
      <c r="H36" s="41">
        <v>21.15</v>
      </c>
      <c r="I36" s="48">
        <f t="shared" si="11"/>
        <v>0</v>
      </c>
      <c r="J36" s="36"/>
      <c r="K36" s="20"/>
      <c r="L36" s="40" t="s">
        <v>33</v>
      </c>
      <c r="M36" s="20"/>
      <c r="N36" s="41">
        <f t="shared" si="12"/>
        <v>31.724999999999998</v>
      </c>
      <c r="O36" s="39">
        <f t="shared" si="13"/>
        <v>0</v>
      </c>
    </row>
    <row r="37" spans="1:15" ht="14.5" customHeight="1" x14ac:dyDescent="0.2">
      <c r="A37" s="1"/>
      <c r="B37" s="21"/>
      <c r="C37" s="22"/>
      <c r="D37" s="36"/>
      <c r="E37" s="20"/>
      <c r="F37" s="40" t="s">
        <v>34</v>
      </c>
      <c r="G37" s="20"/>
      <c r="H37" s="41">
        <v>22.87</v>
      </c>
      <c r="I37" s="48">
        <f t="shared" si="11"/>
        <v>0</v>
      </c>
      <c r="J37" s="36"/>
      <c r="K37" s="20"/>
      <c r="L37" s="40" t="s">
        <v>34</v>
      </c>
      <c r="M37" s="20"/>
      <c r="N37" s="41">
        <f t="shared" si="12"/>
        <v>34.305</v>
      </c>
      <c r="O37" s="39">
        <f t="shared" si="13"/>
        <v>0</v>
      </c>
    </row>
    <row r="38" spans="1:15" ht="14.5" customHeight="1" x14ac:dyDescent="0.2">
      <c r="A38" s="1"/>
      <c r="B38" s="21"/>
      <c r="C38" s="22"/>
      <c r="D38" s="36"/>
      <c r="E38" s="20"/>
      <c r="F38" s="40" t="s">
        <v>33</v>
      </c>
      <c r="G38" s="20"/>
      <c r="H38" s="41">
        <v>21.15</v>
      </c>
      <c r="I38" s="48">
        <f t="shared" si="11"/>
        <v>0</v>
      </c>
      <c r="J38" s="36"/>
      <c r="K38" s="20"/>
      <c r="L38" s="40" t="s">
        <v>33</v>
      </c>
      <c r="M38" s="20"/>
      <c r="N38" s="41">
        <f t="shared" si="12"/>
        <v>31.724999999999998</v>
      </c>
      <c r="O38" s="39">
        <f t="shared" si="13"/>
        <v>0</v>
      </c>
    </row>
    <row r="39" spans="1:15" ht="14.5" customHeight="1" x14ac:dyDescent="0.2">
      <c r="A39" s="1"/>
      <c r="B39" s="21"/>
      <c r="C39" s="22"/>
      <c r="D39" s="36"/>
      <c r="E39" s="20"/>
      <c r="F39" s="40" t="s">
        <v>36</v>
      </c>
      <c r="G39" s="20"/>
      <c r="H39" s="41">
        <v>26.312000000000001</v>
      </c>
      <c r="I39" s="48">
        <f t="shared" si="11"/>
        <v>0</v>
      </c>
      <c r="J39" s="36"/>
      <c r="K39" s="20"/>
      <c r="L39" s="40" t="s">
        <v>36</v>
      </c>
      <c r="M39" s="20"/>
      <c r="N39" s="41">
        <f t="shared" si="12"/>
        <v>39.468000000000004</v>
      </c>
      <c r="O39" s="39">
        <f t="shared" si="13"/>
        <v>0</v>
      </c>
    </row>
    <row r="40" spans="1:15" ht="14.5" customHeight="1" x14ac:dyDescent="0.2">
      <c r="A40" s="1"/>
      <c r="B40" s="21"/>
      <c r="C40" s="22"/>
      <c r="D40" s="36"/>
      <c r="E40" s="20"/>
      <c r="F40" s="40" t="s">
        <v>71</v>
      </c>
      <c r="G40" s="20"/>
      <c r="H40" s="41">
        <v>22.87</v>
      </c>
      <c r="I40" s="48">
        <f t="shared" si="11"/>
        <v>0</v>
      </c>
      <c r="J40" s="36"/>
      <c r="K40" s="20"/>
      <c r="L40" s="40" t="s">
        <v>71</v>
      </c>
      <c r="M40" s="20"/>
      <c r="N40" s="41">
        <f t="shared" si="12"/>
        <v>34.305</v>
      </c>
      <c r="O40" s="39">
        <f t="shared" si="13"/>
        <v>0</v>
      </c>
    </row>
    <row r="41" spans="1:15" ht="14.5" customHeight="1" x14ac:dyDescent="0.2">
      <c r="A41" s="1"/>
      <c r="B41" s="21"/>
      <c r="C41" s="22"/>
      <c r="D41" s="36"/>
      <c r="E41" s="20"/>
      <c r="F41" s="40"/>
      <c r="G41" s="20"/>
      <c r="H41" s="41"/>
      <c r="I41" s="48">
        <f t="shared" si="11"/>
        <v>0</v>
      </c>
      <c r="J41" s="36"/>
      <c r="K41" s="20"/>
      <c r="L41" s="40"/>
      <c r="M41" s="20"/>
      <c r="N41" s="41"/>
      <c r="O41" s="39">
        <f t="shared" si="13"/>
        <v>0</v>
      </c>
    </row>
    <row r="42" spans="1:15" ht="14.5" customHeight="1" x14ac:dyDescent="0.2">
      <c r="A42" s="7" t="s">
        <v>9</v>
      </c>
      <c r="B42" s="39">
        <f>SUM(B31:B41)</f>
        <v>0</v>
      </c>
      <c r="C42" s="49">
        <f>SUM(C31:C41)</f>
        <v>0</v>
      </c>
      <c r="D42" s="37"/>
      <c r="E42" s="76" t="s">
        <v>5</v>
      </c>
      <c r="F42" s="76"/>
      <c r="G42" s="76"/>
      <c r="H42" s="77"/>
      <c r="I42" s="48">
        <f>SUM(I31:I41)</f>
        <v>0</v>
      </c>
      <c r="J42" s="37"/>
      <c r="K42" s="78" t="s">
        <v>5</v>
      </c>
      <c r="L42" s="76"/>
      <c r="M42" s="76"/>
      <c r="N42" s="77"/>
      <c r="O42" s="48">
        <f>SUM(O31:O41)</f>
        <v>0</v>
      </c>
    </row>
    <row r="43" spans="1:15" ht="15.5" customHeight="1" x14ac:dyDescent="0.2">
      <c r="A43" s="3" t="s">
        <v>0</v>
      </c>
      <c r="B43" s="3" t="s">
        <v>26</v>
      </c>
      <c r="C43" s="18" t="s">
        <v>27</v>
      </c>
      <c r="D43" s="47"/>
      <c r="E43" s="19" t="s">
        <v>28</v>
      </c>
      <c r="F43" s="19" t="s">
        <v>29</v>
      </c>
      <c r="G43" s="19" t="s">
        <v>37</v>
      </c>
      <c r="H43" s="19" t="s">
        <v>38</v>
      </c>
      <c r="I43" s="3" t="s">
        <v>9</v>
      </c>
      <c r="J43" s="47"/>
      <c r="K43" s="19" t="s">
        <v>28</v>
      </c>
      <c r="L43" s="19" t="s">
        <v>29</v>
      </c>
      <c r="M43" s="19" t="s">
        <v>37</v>
      </c>
      <c r="N43" s="19" t="s">
        <v>38</v>
      </c>
      <c r="O43" s="3" t="s">
        <v>9</v>
      </c>
    </row>
    <row r="44" spans="1:15" ht="14.5" customHeight="1" x14ac:dyDescent="0.2">
      <c r="A44" s="1"/>
      <c r="B44" s="21"/>
      <c r="C44" s="22"/>
      <c r="D44" s="45"/>
      <c r="E44" s="20"/>
      <c r="F44" s="40" t="s">
        <v>30</v>
      </c>
      <c r="G44" s="20"/>
      <c r="H44" s="41">
        <v>69.319999999999993</v>
      </c>
      <c r="I44" s="48">
        <f>E44*G44*H44</f>
        <v>0</v>
      </c>
      <c r="J44" s="45"/>
      <c r="K44" s="20"/>
      <c r="L44" s="40" t="s">
        <v>30</v>
      </c>
      <c r="M44" s="20"/>
      <c r="N44" s="41">
        <f>1.5*H44</f>
        <v>103.97999999999999</v>
      </c>
      <c r="O44" s="39">
        <f>K44*N44*M44</f>
        <v>0</v>
      </c>
    </row>
    <row r="45" spans="1:15" ht="14.5" customHeight="1" x14ac:dyDescent="0.2">
      <c r="A45" s="1"/>
      <c r="B45" s="21"/>
      <c r="C45" s="22"/>
      <c r="D45" s="45"/>
      <c r="E45" s="20"/>
      <c r="F45" s="40" t="s">
        <v>80</v>
      </c>
      <c r="G45" s="20"/>
      <c r="H45" s="41">
        <v>41.79</v>
      </c>
      <c r="I45" s="48">
        <f t="shared" ref="I45:I54" si="14">E45*G45*H45</f>
        <v>0</v>
      </c>
      <c r="J45" s="45"/>
      <c r="K45" s="20"/>
      <c r="L45" s="40" t="s">
        <v>80</v>
      </c>
      <c r="M45" s="20"/>
      <c r="N45" s="41">
        <f t="shared" ref="N45:N53" si="15">1.5*H45</f>
        <v>62.685000000000002</v>
      </c>
      <c r="O45" s="39">
        <f t="shared" ref="O45:O54" si="16">K45*N45*M45</f>
        <v>0</v>
      </c>
    </row>
    <row r="46" spans="1:15" ht="14.5" customHeight="1" x14ac:dyDescent="0.2">
      <c r="A46" s="1"/>
      <c r="B46" s="21"/>
      <c r="C46" s="22"/>
      <c r="D46" s="45"/>
      <c r="E46" s="20"/>
      <c r="F46" s="40" t="s">
        <v>31</v>
      </c>
      <c r="G46" s="20"/>
      <c r="H46" s="41">
        <v>26.31</v>
      </c>
      <c r="I46" s="48">
        <f t="shared" si="14"/>
        <v>0</v>
      </c>
      <c r="J46" s="45"/>
      <c r="K46" s="20"/>
      <c r="L46" s="40" t="s">
        <v>31</v>
      </c>
      <c r="M46" s="20"/>
      <c r="N46" s="41">
        <f t="shared" si="15"/>
        <v>39.464999999999996</v>
      </c>
      <c r="O46" s="39">
        <f t="shared" si="16"/>
        <v>0</v>
      </c>
    </row>
    <row r="47" spans="1:15" ht="14.5" customHeight="1" x14ac:dyDescent="0.2">
      <c r="A47" s="1"/>
      <c r="B47" s="21"/>
      <c r="C47" s="22"/>
      <c r="D47" s="45"/>
      <c r="E47" s="20"/>
      <c r="F47" s="40" t="s">
        <v>32</v>
      </c>
      <c r="G47" s="20"/>
      <c r="H47" s="41">
        <v>29.75</v>
      </c>
      <c r="I47" s="48">
        <f t="shared" si="14"/>
        <v>0</v>
      </c>
      <c r="J47" s="45"/>
      <c r="K47" s="20"/>
      <c r="L47" s="40" t="s">
        <v>32</v>
      </c>
      <c r="M47" s="20"/>
      <c r="N47" s="41">
        <f t="shared" si="15"/>
        <v>44.625</v>
      </c>
      <c r="O47" s="39">
        <f t="shared" si="16"/>
        <v>0</v>
      </c>
    </row>
    <row r="48" spans="1:15" ht="14.5" customHeight="1" x14ac:dyDescent="0.2">
      <c r="A48" s="1"/>
      <c r="B48" s="21"/>
      <c r="C48" s="22"/>
      <c r="D48" s="45"/>
      <c r="E48" s="20"/>
      <c r="F48" s="40" t="s">
        <v>35</v>
      </c>
      <c r="G48" s="20"/>
      <c r="H48" s="41">
        <v>28.03</v>
      </c>
      <c r="I48" s="48">
        <f t="shared" si="14"/>
        <v>0</v>
      </c>
      <c r="J48" s="45"/>
      <c r="K48" s="20"/>
      <c r="L48" s="40" t="s">
        <v>35</v>
      </c>
      <c r="M48" s="20"/>
      <c r="N48" s="41">
        <f t="shared" si="15"/>
        <v>42.045000000000002</v>
      </c>
      <c r="O48" s="39">
        <f t="shared" si="16"/>
        <v>0</v>
      </c>
    </row>
    <row r="49" spans="1:15" ht="14.5" customHeight="1" x14ac:dyDescent="0.2">
      <c r="A49" s="2"/>
      <c r="B49" s="21"/>
      <c r="C49" s="22"/>
      <c r="D49" s="45"/>
      <c r="E49" s="20"/>
      <c r="F49" s="40" t="s">
        <v>33</v>
      </c>
      <c r="G49" s="20"/>
      <c r="H49" s="41">
        <v>21.15</v>
      </c>
      <c r="I49" s="48">
        <f t="shared" si="14"/>
        <v>0</v>
      </c>
      <c r="J49" s="45"/>
      <c r="K49" s="20"/>
      <c r="L49" s="40" t="s">
        <v>33</v>
      </c>
      <c r="M49" s="20"/>
      <c r="N49" s="41">
        <f t="shared" si="15"/>
        <v>31.724999999999998</v>
      </c>
      <c r="O49" s="39">
        <f t="shared" si="16"/>
        <v>0</v>
      </c>
    </row>
    <row r="50" spans="1:15" ht="14.5" customHeight="1" x14ac:dyDescent="0.2">
      <c r="A50" s="1"/>
      <c r="B50" s="21"/>
      <c r="C50" s="22"/>
      <c r="D50" s="45"/>
      <c r="E50" s="20"/>
      <c r="F50" s="40" t="s">
        <v>34</v>
      </c>
      <c r="G50" s="20"/>
      <c r="H50" s="41">
        <v>22.87</v>
      </c>
      <c r="I50" s="48">
        <f t="shared" si="14"/>
        <v>0</v>
      </c>
      <c r="J50" s="45"/>
      <c r="K50" s="20"/>
      <c r="L50" s="40" t="s">
        <v>34</v>
      </c>
      <c r="M50" s="20"/>
      <c r="N50" s="41">
        <f t="shared" si="15"/>
        <v>34.305</v>
      </c>
      <c r="O50" s="39">
        <f t="shared" si="16"/>
        <v>0</v>
      </c>
    </row>
    <row r="51" spans="1:15" ht="14.5" customHeight="1" x14ac:dyDescent="0.2">
      <c r="A51" s="1"/>
      <c r="B51" s="21"/>
      <c r="C51" s="22"/>
      <c r="D51" s="45"/>
      <c r="E51" s="20"/>
      <c r="F51" s="40" t="s">
        <v>33</v>
      </c>
      <c r="G51" s="20"/>
      <c r="H51" s="41">
        <v>21.15</v>
      </c>
      <c r="I51" s="48">
        <f t="shared" si="14"/>
        <v>0</v>
      </c>
      <c r="J51" s="45"/>
      <c r="K51" s="20"/>
      <c r="L51" s="40" t="s">
        <v>33</v>
      </c>
      <c r="M51" s="20"/>
      <c r="N51" s="41">
        <f t="shared" si="15"/>
        <v>31.724999999999998</v>
      </c>
      <c r="O51" s="39">
        <f t="shared" si="16"/>
        <v>0</v>
      </c>
    </row>
    <row r="52" spans="1:15" ht="14.5" customHeight="1" x14ac:dyDescent="0.2">
      <c r="A52" s="1"/>
      <c r="B52" s="21"/>
      <c r="C52" s="22"/>
      <c r="D52" s="45"/>
      <c r="E52" s="20"/>
      <c r="F52" s="40" t="s">
        <v>36</v>
      </c>
      <c r="G52" s="20"/>
      <c r="H52" s="41">
        <v>26.312000000000001</v>
      </c>
      <c r="I52" s="48">
        <f t="shared" si="14"/>
        <v>0</v>
      </c>
      <c r="J52" s="45"/>
      <c r="K52" s="20"/>
      <c r="L52" s="40" t="s">
        <v>36</v>
      </c>
      <c r="M52" s="20"/>
      <c r="N52" s="41">
        <f t="shared" si="15"/>
        <v>39.468000000000004</v>
      </c>
      <c r="O52" s="39">
        <f t="shared" si="16"/>
        <v>0</v>
      </c>
    </row>
    <row r="53" spans="1:15" ht="14.5" customHeight="1" x14ac:dyDescent="0.2">
      <c r="A53" s="1"/>
      <c r="B53" s="21"/>
      <c r="C53" s="22"/>
      <c r="D53" s="45"/>
      <c r="E53" s="20"/>
      <c r="F53" s="40" t="s">
        <v>71</v>
      </c>
      <c r="G53" s="20"/>
      <c r="H53" s="41">
        <v>22.87</v>
      </c>
      <c r="I53" s="48">
        <f t="shared" si="14"/>
        <v>0</v>
      </c>
      <c r="J53" s="45"/>
      <c r="K53" s="20"/>
      <c r="L53" s="40" t="s">
        <v>71</v>
      </c>
      <c r="M53" s="20"/>
      <c r="N53" s="41">
        <f t="shared" si="15"/>
        <v>34.305</v>
      </c>
      <c r="O53" s="39">
        <f t="shared" si="16"/>
        <v>0</v>
      </c>
    </row>
    <row r="54" spans="1:15" ht="14.5" customHeight="1" x14ac:dyDescent="0.2">
      <c r="A54" s="1"/>
      <c r="B54" s="21"/>
      <c r="C54" s="22"/>
      <c r="D54" s="45"/>
      <c r="E54" s="20"/>
      <c r="F54" s="40"/>
      <c r="G54" s="20"/>
      <c r="H54" s="41"/>
      <c r="I54" s="48">
        <f t="shared" si="14"/>
        <v>0</v>
      </c>
      <c r="J54" s="45"/>
      <c r="K54" s="20"/>
      <c r="L54" s="40"/>
      <c r="M54" s="20"/>
      <c r="N54" s="41"/>
      <c r="O54" s="39">
        <f t="shared" si="16"/>
        <v>0</v>
      </c>
    </row>
    <row r="55" spans="1:15" ht="14.5" customHeight="1" x14ac:dyDescent="0.2">
      <c r="A55" s="7" t="s">
        <v>9</v>
      </c>
      <c r="B55" s="39">
        <f>SUM(B44:B54)</f>
        <v>0</v>
      </c>
      <c r="C55" s="49">
        <f>SUM(C44:C54)</f>
        <v>0</v>
      </c>
      <c r="D55" s="46"/>
      <c r="E55" s="76" t="s">
        <v>5</v>
      </c>
      <c r="F55" s="76"/>
      <c r="G55" s="76"/>
      <c r="H55" s="77"/>
      <c r="I55" s="48">
        <f>SUM(I44:I54)</f>
        <v>0</v>
      </c>
      <c r="J55" s="46"/>
      <c r="K55" s="78" t="s">
        <v>5</v>
      </c>
      <c r="L55" s="76"/>
      <c r="M55" s="76"/>
      <c r="N55" s="77"/>
      <c r="O55" s="48">
        <f>SUM(O44:O54)</f>
        <v>0</v>
      </c>
    </row>
    <row r="56" spans="1:15" ht="15.5" customHeight="1" x14ac:dyDescent="0.2">
      <c r="A56" s="3" t="s">
        <v>0</v>
      </c>
      <c r="B56" s="3" t="s">
        <v>26</v>
      </c>
      <c r="C56" s="18" t="s">
        <v>27</v>
      </c>
      <c r="D56" s="45"/>
      <c r="E56" s="19" t="s">
        <v>28</v>
      </c>
      <c r="F56" s="19" t="s">
        <v>29</v>
      </c>
      <c r="G56" s="19" t="s">
        <v>37</v>
      </c>
      <c r="H56" s="19" t="s">
        <v>38</v>
      </c>
      <c r="I56" s="3" t="s">
        <v>9</v>
      </c>
      <c r="J56" s="45"/>
      <c r="K56" s="19" t="s">
        <v>28</v>
      </c>
      <c r="L56" s="19" t="s">
        <v>29</v>
      </c>
      <c r="M56" s="19" t="s">
        <v>37</v>
      </c>
      <c r="N56" s="19" t="s">
        <v>38</v>
      </c>
      <c r="O56" s="3" t="s">
        <v>9</v>
      </c>
    </row>
    <row r="57" spans="1:15" ht="14.5" customHeight="1" x14ac:dyDescent="0.2">
      <c r="A57" s="1"/>
      <c r="B57" s="21"/>
      <c r="C57" s="22"/>
      <c r="D57" s="45"/>
      <c r="E57" s="20"/>
      <c r="F57" s="40" t="s">
        <v>30</v>
      </c>
      <c r="G57" s="20"/>
      <c r="H57" s="41">
        <v>69.319999999999993</v>
      </c>
      <c r="I57" s="48">
        <f>E57*G57*H57</f>
        <v>0</v>
      </c>
      <c r="J57" s="45"/>
      <c r="K57" s="20"/>
      <c r="L57" s="40" t="s">
        <v>30</v>
      </c>
      <c r="M57" s="20"/>
      <c r="N57" s="41">
        <f>1.5*H57</f>
        <v>103.97999999999999</v>
      </c>
      <c r="O57" s="39">
        <f>K57*N57*M57</f>
        <v>0</v>
      </c>
    </row>
    <row r="58" spans="1:15" ht="14.5" customHeight="1" x14ac:dyDescent="0.2">
      <c r="A58" s="1"/>
      <c r="B58" s="21"/>
      <c r="C58" s="22"/>
      <c r="D58" s="45"/>
      <c r="E58" s="20"/>
      <c r="F58" s="40" t="s">
        <v>80</v>
      </c>
      <c r="G58" s="20"/>
      <c r="H58" s="41">
        <v>41.79</v>
      </c>
      <c r="I58" s="48">
        <f t="shared" ref="I58:I67" si="17">E58*G58*H58</f>
        <v>0</v>
      </c>
      <c r="J58" s="45"/>
      <c r="K58" s="20"/>
      <c r="L58" s="40" t="s">
        <v>80</v>
      </c>
      <c r="M58" s="20"/>
      <c r="N58" s="41">
        <f t="shared" ref="N58:N66" si="18">1.5*H58</f>
        <v>62.685000000000002</v>
      </c>
      <c r="O58" s="39">
        <f t="shared" ref="O58:O67" si="19">K58*N58*M58</f>
        <v>0</v>
      </c>
    </row>
    <row r="59" spans="1:15" ht="14.5" customHeight="1" x14ac:dyDescent="0.2">
      <c r="A59" s="1"/>
      <c r="B59" s="21"/>
      <c r="C59" s="22"/>
      <c r="D59" s="45"/>
      <c r="E59" s="20"/>
      <c r="F59" s="40" t="s">
        <v>31</v>
      </c>
      <c r="G59" s="20"/>
      <c r="H59" s="41">
        <v>26.31</v>
      </c>
      <c r="I59" s="48">
        <f t="shared" si="17"/>
        <v>0</v>
      </c>
      <c r="J59" s="45"/>
      <c r="K59" s="20"/>
      <c r="L59" s="40" t="s">
        <v>31</v>
      </c>
      <c r="M59" s="20"/>
      <c r="N59" s="41">
        <f t="shared" si="18"/>
        <v>39.464999999999996</v>
      </c>
      <c r="O59" s="39">
        <f t="shared" si="19"/>
        <v>0</v>
      </c>
    </row>
    <row r="60" spans="1:15" ht="14.5" customHeight="1" x14ac:dyDescent="0.2">
      <c r="A60" s="1"/>
      <c r="B60" s="21"/>
      <c r="C60" s="22"/>
      <c r="D60" s="45"/>
      <c r="E60" s="20"/>
      <c r="F60" s="40" t="s">
        <v>32</v>
      </c>
      <c r="G60" s="20"/>
      <c r="H60" s="41">
        <v>29.75</v>
      </c>
      <c r="I60" s="48">
        <f t="shared" si="17"/>
        <v>0</v>
      </c>
      <c r="J60" s="45"/>
      <c r="K60" s="20"/>
      <c r="L60" s="40" t="s">
        <v>32</v>
      </c>
      <c r="M60" s="20"/>
      <c r="N60" s="41">
        <f t="shared" si="18"/>
        <v>44.625</v>
      </c>
      <c r="O60" s="39">
        <f t="shared" si="19"/>
        <v>0</v>
      </c>
    </row>
    <row r="61" spans="1:15" ht="14.5" customHeight="1" x14ac:dyDescent="0.2">
      <c r="A61" s="1"/>
      <c r="B61" s="21"/>
      <c r="C61" s="22"/>
      <c r="D61" s="45"/>
      <c r="E61" s="20"/>
      <c r="F61" s="40" t="s">
        <v>35</v>
      </c>
      <c r="G61" s="20"/>
      <c r="H61" s="41">
        <v>28.03</v>
      </c>
      <c r="I61" s="48">
        <f t="shared" si="17"/>
        <v>0</v>
      </c>
      <c r="J61" s="45"/>
      <c r="K61" s="20"/>
      <c r="L61" s="40" t="s">
        <v>35</v>
      </c>
      <c r="M61" s="20"/>
      <c r="N61" s="41">
        <f t="shared" si="18"/>
        <v>42.045000000000002</v>
      </c>
      <c r="O61" s="39">
        <f t="shared" si="19"/>
        <v>0</v>
      </c>
    </row>
    <row r="62" spans="1:15" ht="14.5" customHeight="1" x14ac:dyDescent="0.2">
      <c r="A62" s="2"/>
      <c r="B62" s="21"/>
      <c r="C62" s="22"/>
      <c r="D62" s="45"/>
      <c r="E62" s="20"/>
      <c r="F62" s="40" t="s">
        <v>33</v>
      </c>
      <c r="G62" s="20"/>
      <c r="H62" s="41">
        <v>21.15</v>
      </c>
      <c r="I62" s="48">
        <f t="shared" si="17"/>
        <v>0</v>
      </c>
      <c r="J62" s="45"/>
      <c r="K62" s="20"/>
      <c r="L62" s="40" t="s">
        <v>33</v>
      </c>
      <c r="M62" s="20"/>
      <c r="N62" s="41">
        <f t="shared" si="18"/>
        <v>31.724999999999998</v>
      </c>
      <c r="O62" s="39">
        <f t="shared" si="19"/>
        <v>0</v>
      </c>
    </row>
    <row r="63" spans="1:15" ht="14.5" customHeight="1" x14ac:dyDescent="0.2">
      <c r="A63" s="1"/>
      <c r="B63" s="21"/>
      <c r="C63" s="22"/>
      <c r="D63" s="45"/>
      <c r="E63" s="20"/>
      <c r="F63" s="40" t="s">
        <v>34</v>
      </c>
      <c r="G63" s="20"/>
      <c r="H63" s="41">
        <v>22.87</v>
      </c>
      <c r="I63" s="48">
        <f t="shared" si="17"/>
        <v>0</v>
      </c>
      <c r="J63" s="45"/>
      <c r="K63" s="20"/>
      <c r="L63" s="40" t="s">
        <v>34</v>
      </c>
      <c r="M63" s="20"/>
      <c r="N63" s="41">
        <f t="shared" si="18"/>
        <v>34.305</v>
      </c>
      <c r="O63" s="39">
        <f t="shared" si="19"/>
        <v>0</v>
      </c>
    </row>
    <row r="64" spans="1:15" ht="14.5" customHeight="1" x14ac:dyDescent="0.2">
      <c r="A64" s="1"/>
      <c r="B64" s="21"/>
      <c r="C64" s="22"/>
      <c r="D64" s="45"/>
      <c r="E64" s="20"/>
      <c r="F64" s="40" t="s">
        <v>33</v>
      </c>
      <c r="G64" s="20"/>
      <c r="H64" s="41">
        <v>21.15</v>
      </c>
      <c r="I64" s="48">
        <f t="shared" si="17"/>
        <v>0</v>
      </c>
      <c r="J64" s="45"/>
      <c r="K64" s="20"/>
      <c r="L64" s="40" t="s">
        <v>33</v>
      </c>
      <c r="M64" s="20"/>
      <c r="N64" s="41">
        <f t="shared" si="18"/>
        <v>31.724999999999998</v>
      </c>
      <c r="O64" s="39">
        <f t="shared" si="19"/>
        <v>0</v>
      </c>
    </row>
    <row r="65" spans="1:15" ht="14.5" customHeight="1" x14ac:dyDescent="0.2">
      <c r="A65" s="1"/>
      <c r="B65" s="21"/>
      <c r="C65" s="22"/>
      <c r="D65" s="45"/>
      <c r="E65" s="20"/>
      <c r="F65" s="40" t="s">
        <v>36</v>
      </c>
      <c r="G65" s="20"/>
      <c r="H65" s="41">
        <v>26.312000000000001</v>
      </c>
      <c r="I65" s="48">
        <f t="shared" si="17"/>
        <v>0</v>
      </c>
      <c r="J65" s="45"/>
      <c r="K65" s="20"/>
      <c r="L65" s="40" t="s">
        <v>36</v>
      </c>
      <c r="M65" s="20"/>
      <c r="N65" s="41">
        <f t="shared" si="18"/>
        <v>39.468000000000004</v>
      </c>
      <c r="O65" s="39">
        <f t="shared" si="19"/>
        <v>0</v>
      </c>
    </row>
    <row r="66" spans="1:15" ht="14.5" customHeight="1" x14ac:dyDescent="0.2">
      <c r="A66" s="1"/>
      <c r="B66" s="21"/>
      <c r="C66" s="22"/>
      <c r="D66" s="45"/>
      <c r="E66" s="20"/>
      <c r="F66" s="40" t="s">
        <v>71</v>
      </c>
      <c r="G66" s="20"/>
      <c r="H66" s="41">
        <v>22.87</v>
      </c>
      <c r="I66" s="48">
        <f t="shared" si="17"/>
        <v>0</v>
      </c>
      <c r="J66" s="45"/>
      <c r="K66" s="20"/>
      <c r="L66" s="40" t="s">
        <v>71</v>
      </c>
      <c r="M66" s="20"/>
      <c r="N66" s="41">
        <f t="shared" si="18"/>
        <v>34.305</v>
      </c>
      <c r="O66" s="39">
        <f t="shared" si="19"/>
        <v>0</v>
      </c>
    </row>
    <row r="67" spans="1:15" ht="14.5" customHeight="1" x14ac:dyDescent="0.2">
      <c r="A67" s="1"/>
      <c r="B67" s="21"/>
      <c r="C67" s="22"/>
      <c r="D67" s="45"/>
      <c r="E67" s="20"/>
      <c r="F67" s="40"/>
      <c r="G67" s="20"/>
      <c r="H67" s="41"/>
      <c r="I67" s="48">
        <f t="shared" si="17"/>
        <v>0</v>
      </c>
      <c r="J67" s="45"/>
      <c r="K67" s="20"/>
      <c r="L67" s="40"/>
      <c r="M67" s="20"/>
      <c r="N67" s="41"/>
      <c r="O67" s="39">
        <f t="shared" si="19"/>
        <v>0</v>
      </c>
    </row>
    <row r="68" spans="1:15" ht="14.5" customHeight="1" x14ac:dyDescent="0.2">
      <c r="A68" s="7" t="s">
        <v>9</v>
      </c>
      <c r="B68" s="39">
        <f>SUM(B57:B67)</f>
        <v>0</v>
      </c>
      <c r="C68" s="49">
        <f>SUM(C57:C67)</f>
        <v>0</v>
      </c>
      <c r="D68" s="46"/>
      <c r="E68" s="76" t="s">
        <v>5</v>
      </c>
      <c r="F68" s="76"/>
      <c r="G68" s="76"/>
      <c r="H68" s="77"/>
      <c r="I68" s="48">
        <f>SUM(I57:I67)</f>
        <v>0</v>
      </c>
      <c r="J68" s="46"/>
      <c r="K68" s="78" t="s">
        <v>5</v>
      </c>
      <c r="L68" s="76"/>
      <c r="M68" s="76"/>
      <c r="N68" s="77"/>
      <c r="O68" s="48">
        <f>SUM(O57:O67)</f>
        <v>0</v>
      </c>
    </row>
  </sheetData>
  <mergeCells count="20">
    <mergeCell ref="Q29:S29"/>
    <mergeCell ref="K2:O2"/>
    <mergeCell ref="A1:O1"/>
    <mergeCell ref="E16:H16"/>
    <mergeCell ref="E29:H29"/>
    <mergeCell ref="K16:N16"/>
    <mergeCell ref="K29:N29"/>
    <mergeCell ref="H3:I3"/>
    <mergeCell ref="K3:M3"/>
    <mergeCell ref="N3:O3"/>
    <mergeCell ref="A2:C2"/>
    <mergeCell ref="B3:C3"/>
    <mergeCell ref="E2:I2"/>
    <mergeCell ref="E3:G3"/>
    <mergeCell ref="E42:H42"/>
    <mergeCell ref="K42:N42"/>
    <mergeCell ref="E55:H55"/>
    <mergeCell ref="K55:N55"/>
    <mergeCell ref="E68:H68"/>
    <mergeCell ref="K68:N68"/>
  </mergeCells>
  <phoneticPr fontId="1" type="noConversion"/>
  <pageMargins left="0.7" right="0.7" top="0.75" bottom="0.75" header="0.3" footer="0.3"/>
  <pageSetup scale="90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EA287-892A-4DB9-9753-33CFD12E1E1A}">
  <dimension ref="A1:E34"/>
  <sheetViews>
    <sheetView workbookViewId="0">
      <selection activeCell="H29" sqref="H29"/>
    </sheetView>
  </sheetViews>
  <sheetFormatPr baseColWidth="10" defaultColWidth="8.83203125" defaultRowHeight="15" x14ac:dyDescent="0.2"/>
  <cols>
    <col min="1" max="1" width="35.5" customWidth="1"/>
    <col min="2" max="2" width="7.6640625" customWidth="1"/>
    <col min="3" max="5" width="14.6640625" customWidth="1"/>
    <col min="11" max="11" width="14.5" bestFit="1" customWidth="1"/>
    <col min="18" max="18" width="17.5" bestFit="1" customWidth="1"/>
  </cols>
  <sheetData>
    <row r="1" spans="1:5" ht="44.5" customHeight="1" x14ac:dyDescent="0.2">
      <c r="A1" s="87" t="s">
        <v>50</v>
      </c>
      <c r="B1" s="87"/>
      <c r="C1" s="87"/>
      <c r="D1" s="87"/>
      <c r="E1" s="87"/>
    </row>
    <row r="2" spans="1:5" ht="20.5" customHeight="1" x14ac:dyDescent="0.2">
      <c r="A2" s="88" t="s">
        <v>1</v>
      </c>
      <c r="B2" s="88"/>
      <c r="C2" s="88"/>
      <c r="D2" s="88"/>
      <c r="E2" s="88"/>
    </row>
    <row r="3" spans="1:5" ht="20.5" customHeight="1" x14ac:dyDescent="0.2">
      <c r="A3" s="23" t="s">
        <v>48</v>
      </c>
      <c r="B3" s="23"/>
      <c r="C3" s="89">
        <f>E17+E32</f>
        <v>45</v>
      </c>
      <c r="D3" s="89"/>
      <c r="E3" s="89"/>
    </row>
    <row r="4" spans="1:5" ht="15.5" customHeight="1" x14ac:dyDescent="0.2">
      <c r="A4" s="3" t="s">
        <v>0</v>
      </c>
      <c r="B4" s="3" t="s">
        <v>28</v>
      </c>
      <c r="C4" s="3" t="s">
        <v>49</v>
      </c>
      <c r="D4" s="3" t="s">
        <v>38</v>
      </c>
      <c r="E4" s="3" t="s">
        <v>5</v>
      </c>
    </row>
    <row r="5" spans="1:5" ht="14.5" customHeight="1" x14ac:dyDescent="0.2">
      <c r="A5" s="1"/>
      <c r="B5" s="1"/>
      <c r="C5" s="29"/>
      <c r="D5" s="30"/>
      <c r="E5" s="39">
        <f t="shared" ref="E5:E16" si="0">B5*C5*D5</f>
        <v>0</v>
      </c>
    </row>
    <row r="6" spans="1:5" ht="14.5" customHeight="1" x14ac:dyDescent="0.2">
      <c r="A6" s="1"/>
      <c r="B6" s="1"/>
      <c r="C6" s="29"/>
      <c r="D6" s="30"/>
      <c r="E6" s="39">
        <f t="shared" si="0"/>
        <v>0</v>
      </c>
    </row>
    <row r="7" spans="1:5" ht="14.5" customHeight="1" x14ac:dyDescent="0.2">
      <c r="A7" s="1"/>
      <c r="B7" s="1"/>
      <c r="C7" s="29"/>
      <c r="D7" s="30"/>
      <c r="E7" s="39">
        <f t="shared" si="0"/>
        <v>0</v>
      </c>
    </row>
    <row r="8" spans="1:5" ht="14.5" customHeight="1" x14ac:dyDescent="0.2">
      <c r="A8" s="1"/>
      <c r="B8" s="1"/>
      <c r="C8" s="29"/>
      <c r="D8" s="30"/>
      <c r="E8" s="39">
        <f t="shared" si="0"/>
        <v>0</v>
      </c>
    </row>
    <row r="9" spans="1:5" ht="14.5" customHeight="1" x14ac:dyDescent="0.2">
      <c r="A9" s="1"/>
      <c r="B9" s="1"/>
      <c r="C9" s="29"/>
      <c r="D9" s="30"/>
      <c r="E9" s="39">
        <f t="shared" si="0"/>
        <v>0</v>
      </c>
    </row>
    <row r="10" spans="1:5" ht="14.5" customHeight="1" x14ac:dyDescent="0.2">
      <c r="A10" s="1"/>
      <c r="B10" s="1"/>
      <c r="C10" s="29"/>
      <c r="D10" s="30"/>
      <c r="E10" s="39">
        <f t="shared" si="0"/>
        <v>0</v>
      </c>
    </row>
    <row r="11" spans="1:5" ht="14.5" customHeight="1" x14ac:dyDescent="0.2">
      <c r="A11" s="2"/>
      <c r="B11" s="2"/>
      <c r="C11" s="29"/>
      <c r="D11" s="30"/>
      <c r="E11" s="39">
        <f t="shared" si="0"/>
        <v>0</v>
      </c>
    </row>
    <row r="12" spans="1:5" ht="14.5" customHeight="1" x14ac:dyDescent="0.2">
      <c r="A12" s="1"/>
      <c r="B12" s="1"/>
      <c r="C12" s="29"/>
      <c r="D12" s="30"/>
      <c r="E12" s="39">
        <f t="shared" si="0"/>
        <v>0</v>
      </c>
    </row>
    <row r="13" spans="1:5" ht="14.5" customHeight="1" x14ac:dyDescent="0.2">
      <c r="A13" s="1"/>
      <c r="B13" s="1"/>
      <c r="C13" s="29"/>
      <c r="D13" s="30"/>
      <c r="E13" s="39">
        <f t="shared" si="0"/>
        <v>0</v>
      </c>
    </row>
    <row r="14" spans="1:5" ht="14.5" customHeight="1" x14ac:dyDescent="0.2">
      <c r="A14" s="1"/>
      <c r="B14" s="1"/>
      <c r="C14" s="29"/>
      <c r="D14" s="30"/>
      <c r="E14" s="39">
        <f t="shared" si="0"/>
        <v>0</v>
      </c>
    </row>
    <row r="15" spans="1:5" ht="14.5" customHeight="1" x14ac:dyDescent="0.2">
      <c r="A15" s="1"/>
      <c r="B15" s="1"/>
      <c r="C15" s="29"/>
      <c r="D15" s="30"/>
      <c r="E15" s="39">
        <f t="shared" si="0"/>
        <v>0</v>
      </c>
    </row>
    <row r="16" spans="1:5" ht="14.5" customHeight="1" x14ac:dyDescent="0.2">
      <c r="A16" s="1"/>
      <c r="B16" s="1"/>
      <c r="C16" s="29"/>
      <c r="D16" s="30"/>
      <c r="E16" s="39">
        <f t="shared" si="0"/>
        <v>0</v>
      </c>
    </row>
    <row r="17" spans="1:5" ht="14.5" customHeight="1" x14ac:dyDescent="0.2">
      <c r="A17" s="90" t="s">
        <v>44</v>
      </c>
      <c r="B17" s="90"/>
      <c r="C17" s="90"/>
      <c r="D17" s="90"/>
      <c r="E17" s="39">
        <f>SUM(E5:E16)</f>
        <v>0</v>
      </c>
    </row>
    <row r="18" spans="1:5" ht="20.25" customHeight="1" x14ac:dyDescent="0.2">
      <c r="A18" s="88" t="s">
        <v>47</v>
      </c>
      <c r="B18" s="88"/>
      <c r="C18" s="88"/>
      <c r="D18" s="88"/>
      <c r="E18" s="88"/>
    </row>
    <row r="19" spans="1:5" ht="15.5" customHeight="1" x14ac:dyDescent="0.2">
      <c r="A19" s="3" t="s">
        <v>0</v>
      </c>
      <c r="B19" s="3" t="s">
        <v>28</v>
      </c>
      <c r="C19" s="3" t="s">
        <v>49</v>
      </c>
      <c r="D19" s="3" t="s">
        <v>38</v>
      </c>
      <c r="E19" s="3" t="s">
        <v>5</v>
      </c>
    </row>
    <row r="20" spans="1:5" ht="14.5" customHeight="1" x14ac:dyDescent="0.2">
      <c r="A20" s="1"/>
      <c r="B20" s="1"/>
      <c r="C20" s="29"/>
      <c r="D20" s="30"/>
      <c r="E20" s="39">
        <f t="shared" ref="E20:E30" si="1">B20*C20*D20</f>
        <v>0</v>
      </c>
    </row>
    <row r="21" spans="1:5" ht="14.5" customHeight="1" x14ac:dyDescent="0.2">
      <c r="A21" s="1" t="s">
        <v>89</v>
      </c>
      <c r="B21" s="1"/>
      <c r="C21" s="29">
        <v>0</v>
      </c>
      <c r="D21" s="30">
        <v>5</v>
      </c>
      <c r="E21" s="39">
        <f t="shared" si="1"/>
        <v>0</v>
      </c>
    </row>
    <row r="22" spans="1:5" ht="14.5" customHeight="1" x14ac:dyDescent="0.2">
      <c r="A22" s="1" t="s">
        <v>90</v>
      </c>
      <c r="B22" s="1">
        <v>1</v>
      </c>
      <c r="C22" s="29">
        <v>3</v>
      </c>
      <c r="D22" s="30">
        <v>5</v>
      </c>
      <c r="E22" s="39">
        <f t="shared" si="1"/>
        <v>15</v>
      </c>
    </row>
    <row r="23" spans="1:5" ht="14.5" customHeight="1" x14ac:dyDescent="0.2">
      <c r="A23" s="1" t="s">
        <v>97</v>
      </c>
      <c r="B23" s="1">
        <v>1</v>
      </c>
      <c r="C23" s="29">
        <v>3</v>
      </c>
      <c r="D23" s="30">
        <v>5</v>
      </c>
      <c r="E23" s="39">
        <f t="shared" si="1"/>
        <v>15</v>
      </c>
    </row>
    <row r="24" spans="1:5" ht="14.5" customHeight="1" x14ac:dyDescent="0.2">
      <c r="A24" s="1" t="s">
        <v>106</v>
      </c>
      <c r="B24" s="1">
        <v>1</v>
      </c>
      <c r="C24" s="29">
        <v>3</v>
      </c>
      <c r="D24" s="30">
        <v>5</v>
      </c>
      <c r="E24" s="39">
        <f t="shared" si="1"/>
        <v>15</v>
      </c>
    </row>
    <row r="25" spans="1:5" ht="14.5" customHeight="1" x14ac:dyDescent="0.2">
      <c r="A25" s="2"/>
      <c r="B25" s="2"/>
      <c r="C25" s="29"/>
      <c r="D25" s="30"/>
      <c r="E25" s="39">
        <f t="shared" si="1"/>
        <v>0</v>
      </c>
    </row>
    <row r="26" spans="1:5" ht="14.5" customHeight="1" x14ac:dyDescent="0.2">
      <c r="A26" s="2"/>
      <c r="B26" s="2"/>
      <c r="C26" s="29"/>
      <c r="D26" s="30"/>
      <c r="E26" s="39">
        <f t="shared" si="1"/>
        <v>0</v>
      </c>
    </row>
    <row r="27" spans="1:5" ht="14.5" customHeight="1" x14ac:dyDescent="0.2">
      <c r="A27" s="1"/>
      <c r="B27" s="1"/>
      <c r="C27" s="29"/>
      <c r="D27" s="30"/>
      <c r="E27" s="39">
        <f t="shared" si="1"/>
        <v>0</v>
      </c>
    </row>
    <row r="28" spans="1:5" ht="14.5" customHeight="1" x14ac:dyDescent="0.2">
      <c r="A28" s="1"/>
      <c r="B28" s="1"/>
      <c r="C28" s="29"/>
      <c r="D28" s="30"/>
      <c r="E28" s="39">
        <f t="shared" si="1"/>
        <v>0</v>
      </c>
    </row>
    <row r="29" spans="1:5" ht="14.5" customHeight="1" x14ac:dyDescent="0.2">
      <c r="A29" s="1"/>
      <c r="B29" s="1"/>
      <c r="C29" s="29"/>
      <c r="D29" s="30"/>
      <c r="E29" s="39">
        <f t="shared" si="1"/>
        <v>0</v>
      </c>
    </row>
    <row r="30" spans="1:5" ht="14.5" customHeight="1" x14ac:dyDescent="0.2">
      <c r="A30" s="1"/>
      <c r="B30" s="1"/>
      <c r="C30" s="29"/>
      <c r="D30" s="30"/>
      <c r="E30" s="39">
        <f t="shared" si="1"/>
        <v>0</v>
      </c>
    </row>
    <row r="31" spans="1:5" ht="14.5" customHeight="1" x14ac:dyDescent="0.2">
      <c r="A31" s="1"/>
      <c r="B31" s="1"/>
      <c r="C31" s="29"/>
      <c r="D31" s="30"/>
      <c r="E31" s="39">
        <f t="shared" ref="E31" si="2">B31*C31*D31</f>
        <v>0</v>
      </c>
    </row>
    <row r="32" spans="1:5" ht="14.5" customHeight="1" x14ac:dyDescent="0.2">
      <c r="A32" s="90" t="s">
        <v>44</v>
      </c>
      <c r="B32" s="90"/>
      <c r="C32" s="90"/>
      <c r="D32" s="90"/>
      <c r="E32" s="39">
        <f>SUM(E20:E31)</f>
        <v>45</v>
      </c>
    </row>
    <row r="33" ht="14.5" customHeight="1" x14ac:dyDescent="0.2"/>
    <row r="34" ht="14.5" customHeight="1" x14ac:dyDescent="0.2"/>
  </sheetData>
  <mergeCells count="6">
    <mergeCell ref="A1:E1"/>
    <mergeCell ref="A2:E2"/>
    <mergeCell ref="C3:E3"/>
    <mergeCell ref="A32:D32"/>
    <mergeCell ref="A18:E18"/>
    <mergeCell ref="A17:D17"/>
  </mergeCells>
  <pageMargins left="0.7" right="0.7" top="0.75" bottom="0.75" header="0.3" footer="0.3"/>
  <pageSetup orientation="portrait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2C018-7416-4966-8C31-E8F21EB807F2}">
  <dimension ref="A1:E31"/>
  <sheetViews>
    <sheetView workbookViewId="0">
      <selection activeCell="B9" sqref="B9"/>
    </sheetView>
  </sheetViews>
  <sheetFormatPr baseColWidth="10" defaultColWidth="8.83203125" defaultRowHeight="15" x14ac:dyDescent="0.2"/>
  <cols>
    <col min="1" max="1" width="35.5" customWidth="1"/>
    <col min="2" max="3" width="6.33203125" customWidth="1"/>
    <col min="4" max="5" width="9.5" customWidth="1"/>
  </cols>
  <sheetData>
    <row r="1" spans="1:5" ht="44.5" customHeight="1" x14ac:dyDescent="0.2">
      <c r="A1" s="87" t="s">
        <v>45</v>
      </c>
      <c r="B1" s="87"/>
      <c r="C1" s="87"/>
      <c r="D1" s="87"/>
      <c r="E1" s="87"/>
    </row>
    <row r="2" spans="1:5" ht="20.5" customHeight="1" x14ac:dyDescent="0.2">
      <c r="A2" s="88"/>
      <c r="B2" s="88"/>
      <c r="C2" s="88"/>
      <c r="D2" s="88"/>
      <c r="E2" s="88"/>
    </row>
    <row r="3" spans="1:5" ht="20.5" customHeight="1" x14ac:dyDescent="0.2">
      <c r="A3" s="23" t="s">
        <v>51</v>
      </c>
      <c r="B3" s="23"/>
      <c r="C3" s="89">
        <f>E16+E29</f>
        <v>172.5</v>
      </c>
      <c r="D3" s="89"/>
      <c r="E3" s="89"/>
    </row>
    <row r="4" spans="1:5" ht="15.5" customHeight="1" x14ac:dyDescent="0.2">
      <c r="A4" s="3" t="s">
        <v>0</v>
      </c>
      <c r="B4" s="3" t="s">
        <v>28</v>
      </c>
      <c r="C4" s="3" t="s">
        <v>52</v>
      </c>
      <c r="D4" s="3" t="s">
        <v>53</v>
      </c>
      <c r="E4" s="3" t="s">
        <v>5</v>
      </c>
    </row>
    <row r="5" spans="1:5" ht="14.5" customHeight="1" x14ac:dyDescent="0.2">
      <c r="A5" s="1" t="s">
        <v>60</v>
      </c>
      <c r="B5" s="1">
        <v>8</v>
      </c>
      <c r="C5" s="39" t="s">
        <v>61</v>
      </c>
      <c r="D5" s="39">
        <v>2.5</v>
      </c>
      <c r="E5" s="39">
        <f t="shared" ref="E5:E15" si="0">B5*D5</f>
        <v>20</v>
      </c>
    </row>
    <row r="6" spans="1:5" ht="14.5" customHeight="1" x14ac:dyDescent="0.2">
      <c r="A6" s="1" t="s">
        <v>62</v>
      </c>
      <c r="B6" s="1">
        <v>5</v>
      </c>
      <c r="C6" s="39" t="s">
        <v>63</v>
      </c>
      <c r="D6" s="39">
        <v>2.5</v>
      </c>
      <c r="E6" s="39">
        <f t="shared" si="0"/>
        <v>12.5</v>
      </c>
    </row>
    <row r="7" spans="1:5" ht="14.5" customHeight="1" x14ac:dyDescent="0.2">
      <c r="A7" s="1" t="s">
        <v>64</v>
      </c>
      <c r="B7" s="1">
        <v>1</v>
      </c>
      <c r="C7" s="39" t="s">
        <v>63</v>
      </c>
      <c r="D7" s="39">
        <v>60</v>
      </c>
      <c r="E7" s="39">
        <f t="shared" si="0"/>
        <v>60</v>
      </c>
    </row>
    <row r="8" spans="1:5" ht="14.5" customHeight="1" x14ac:dyDescent="0.2">
      <c r="A8" s="1"/>
      <c r="B8" s="1"/>
      <c r="C8" s="39" t="s">
        <v>63</v>
      </c>
      <c r="D8" s="39">
        <v>0</v>
      </c>
      <c r="E8" s="39">
        <f t="shared" si="0"/>
        <v>0</v>
      </c>
    </row>
    <row r="9" spans="1:5" ht="14.5" customHeight="1" x14ac:dyDescent="0.2">
      <c r="A9" s="1" t="s">
        <v>65</v>
      </c>
      <c r="B9" s="1">
        <v>1</v>
      </c>
      <c r="C9" s="39" t="s">
        <v>63</v>
      </c>
      <c r="D9" s="39">
        <v>25</v>
      </c>
      <c r="E9" s="39">
        <f t="shared" si="0"/>
        <v>25</v>
      </c>
    </row>
    <row r="10" spans="1:5" ht="14.5" customHeight="1" x14ac:dyDescent="0.2">
      <c r="A10" s="2" t="s">
        <v>66</v>
      </c>
      <c r="B10" s="1"/>
      <c r="C10" s="39" t="s">
        <v>63</v>
      </c>
      <c r="D10" s="39">
        <v>20</v>
      </c>
      <c r="E10" s="39">
        <f t="shared" si="0"/>
        <v>0</v>
      </c>
    </row>
    <row r="11" spans="1:5" ht="14.5" customHeight="1" x14ac:dyDescent="0.2">
      <c r="A11" s="1" t="s">
        <v>67</v>
      </c>
      <c r="B11" s="1">
        <v>1</v>
      </c>
      <c r="C11" s="39" t="s">
        <v>63</v>
      </c>
      <c r="D11" s="39">
        <v>25</v>
      </c>
      <c r="E11" s="39">
        <f t="shared" si="0"/>
        <v>25</v>
      </c>
    </row>
    <row r="12" spans="1:5" ht="14.5" customHeight="1" x14ac:dyDescent="0.2">
      <c r="A12" s="1" t="s">
        <v>68</v>
      </c>
      <c r="B12" s="1">
        <v>1</v>
      </c>
      <c r="C12" s="39" t="s">
        <v>69</v>
      </c>
      <c r="D12" s="39">
        <v>30</v>
      </c>
      <c r="E12" s="39">
        <f t="shared" si="0"/>
        <v>30</v>
      </c>
    </row>
    <row r="13" spans="1:5" ht="14.5" customHeight="1" x14ac:dyDescent="0.2">
      <c r="A13" s="1"/>
      <c r="B13" s="1"/>
      <c r="C13" s="39"/>
      <c r="D13" s="39"/>
      <c r="E13" s="39">
        <f t="shared" si="0"/>
        <v>0</v>
      </c>
    </row>
    <row r="14" spans="1:5" ht="14.5" customHeight="1" x14ac:dyDescent="0.2">
      <c r="A14" s="1"/>
      <c r="B14" s="1"/>
      <c r="C14" s="39"/>
      <c r="D14" s="39"/>
      <c r="E14" s="39">
        <f t="shared" si="0"/>
        <v>0</v>
      </c>
    </row>
    <row r="15" spans="1:5" ht="14.5" customHeight="1" x14ac:dyDescent="0.2">
      <c r="A15" s="1"/>
      <c r="B15" s="1"/>
      <c r="C15" s="39"/>
      <c r="D15" s="39"/>
      <c r="E15" s="39">
        <f t="shared" si="0"/>
        <v>0</v>
      </c>
    </row>
    <row r="16" spans="1:5" ht="14.5" customHeight="1" x14ac:dyDescent="0.2">
      <c r="A16" s="90" t="s">
        <v>44</v>
      </c>
      <c r="B16" s="90"/>
      <c r="C16" s="90"/>
      <c r="D16" s="90"/>
      <c r="E16" s="50">
        <f>SUM(E5:E15)</f>
        <v>172.5</v>
      </c>
    </row>
    <row r="17" spans="1:5" ht="15.5" customHeight="1" x14ac:dyDescent="0.2">
      <c r="A17" s="3" t="s">
        <v>0</v>
      </c>
      <c r="B17" s="3" t="s">
        <v>28</v>
      </c>
      <c r="C17" s="3" t="s">
        <v>52</v>
      </c>
      <c r="D17" s="3" t="s">
        <v>53</v>
      </c>
      <c r="E17" s="3" t="s">
        <v>5</v>
      </c>
    </row>
    <row r="18" spans="1:5" ht="14.5" customHeight="1" x14ac:dyDescent="0.2">
      <c r="A18" s="1"/>
      <c r="B18" s="1"/>
      <c r="C18" s="39"/>
      <c r="D18" s="39"/>
      <c r="E18" s="39">
        <f>B18*D18</f>
        <v>0</v>
      </c>
    </row>
    <row r="19" spans="1:5" ht="14.5" customHeight="1" x14ac:dyDescent="0.2">
      <c r="A19" s="1"/>
      <c r="B19" s="1"/>
      <c r="C19" s="39" t="s">
        <v>63</v>
      </c>
      <c r="D19" s="39"/>
      <c r="E19" s="39">
        <f t="shared" ref="E19:E28" si="1">B19*D19</f>
        <v>0</v>
      </c>
    </row>
    <row r="20" spans="1:5" ht="14.5" customHeight="1" x14ac:dyDescent="0.2">
      <c r="A20" s="1"/>
      <c r="B20" s="1"/>
      <c r="C20" s="39"/>
      <c r="D20" s="39"/>
      <c r="E20" s="39">
        <f t="shared" si="1"/>
        <v>0</v>
      </c>
    </row>
    <row r="21" spans="1:5" ht="14.5" customHeight="1" x14ac:dyDescent="0.2">
      <c r="A21" s="1"/>
      <c r="B21" s="1"/>
      <c r="C21" s="39"/>
      <c r="D21" s="39"/>
      <c r="E21" s="39">
        <f t="shared" si="1"/>
        <v>0</v>
      </c>
    </row>
    <row r="22" spans="1:5" ht="14.5" customHeight="1" x14ac:dyDescent="0.2">
      <c r="A22" s="1"/>
      <c r="B22" s="1"/>
      <c r="C22" s="39"/>
      <c r="D22" s="39"/>
      <c r="E22" s="39">
        <f t="shared" si="1"/>
        <v>0</v>
      </c>
    </row>
    <row r="23" spans="1:5" ht="14.5" customHeight="1" x14ac:dyDescent="0.2">
      <c r="A23" s="2"/>
      <c r="B23" s="2"/>
      <c r="C23" s="39"/>
      <c r="D23" s="39"/>
      <c r="E23" s="39">
        <f t="shared" si="1"/>
        <v>0</v>
      </c>
    </row>
    <row r="24" spans="1:5" ht="14.5" customHeight="1" x14ac:dyDescent="0.2">
      <c r="A24" s="1"/>
      <c r="B24" s="1"/>
      <c r="C24" s="39"/>
      <c r="D24" s="39"/>
      <c r="E24" s="39">
        <f t="shared" si="1"/>
        <v>0</v>
      </c>
    </row>
    <row r="25" spans="1:5" ht="14.5" customHeight="1" x14ac:dyDescent="0.2">
      <c r="A25" s="1"/>
      <c r="B25" s="1"/>
      <c r="C25" s="39"/>
      <c r="D25" s="39"/>
      <c r="E25" s="39">
        <f t="shared" si="1"/>
        <v>0</v>
      </c>
    </row>
    <row r="26" spans="1:5" ht="14.5" customHeight="1" x14ac:dyDescent="0.2">
      <c r="A26" s="1"/>
      <c r="B26" s="1"/>
      <c r="C26" s="39"/>
      <c r="D26" s="39"/>
      <c r="E26" s="39">
        <f t="shared" si="1"/>
        <v>0</v>
      </c>
    </row>
    <row r="27" spans="1:5" ht="14.5" customHeight="1" x14ac:dyDescent="0.2">
      <c r="A27" s="1"/>
      <c r="B27" s="1"/>
      <c r="C27" s="39"/>
      <c r="D27" s="39"/>
      <c r="E27" s="39">
        <f t="shared" si="1"/>
        <v>0</v>
      </c>
    </row>
    <row r="28" spans="1:5" ht="14.5" customHeight="1" x14ac:dyDescent="0.2">
      <c r="A28" s="1"/>
      <c r="B28" s="1"/>
      <c r="C28" s="39"/>
      <c r="D28" s="39"/>
      <c r="E28" s="39">
        <f t="shared" si="1"/>
        <v>0</v>
      </c>
    </row>
    <row r="29" spans="1:5" ht="14.5" customHeight="1" x14ac:dyDescent="0.2">
      <c r="A29" s="90" t="s">
        <v>44</v>
      </c>
      <c r="B29" s="90"/>
      <c r="C29" s="90"/>
      <c r="D29" s="90"/>
      <c r="E29" s="50">
        <f>SUM(E18:E28)</f>
        <v>0</v>
      </c>
    </row>
    <row r="30" spans="1:5" ht="14.5" customHeight="1" x14ac:dyDescent="0.2"/>
    <row r="31" spans="1:5" ht="14.5" customHeight="1" x14ac:dyDescent="0.2"/>
  </sheetData>
  <mergeCells count="5">
    <mergeCell ref="A16:D16"/>
    <mergeCell ref="A29:D29"/>
    <mergeCell ref="A1:E1"/>
    <mergeCell ref="A2:E2"/>
    <mergeCell ref="C3:E3"/>
  </mergeCells>
  <pageMargins left="0.7" right="0.7" top="0.75" bottom="0.75" header="0.3" footer="0.3"/>
  <pageSetup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B4592-9576-450E-81A7-B85F3D90DC3E}">
  <dimension ref="A1:C45"/>
  <sheetViews>
    <sheetView workbookViewId="0">
      <selection activeCell="A6" sqref="A6:A8"/>
    </sheetView>
  </sheetViews>
  <sheetFormatPr baseColWidth="10" defaultColWidth="8.83203125" defaultRowHeight="15" x14ac:dyDescent="0.2"/>
  <cols>
    <col min="1" max="1" width="35.5" customWidth="1"/>
    <col min="2" max="3" width="14.6640625" customWidth="1"/>
  </cols>
  <sheetData>
    <row r="1" spans="1:3" ht="44.5" customHeight="1" x14ac:dyDescent="0.2">
      <c r="A1" s="87" t="s">
        <v>55</v>
      </c>
      <c r="B1" s="87"/>
      <c r="C1" s="87"/>
    </row>
    <row r="2" spans="1:3" ht="20.5" customHeight="1" x14ac:dyDescent="0.2">
      <c r="A2" s="88" t="s">
        <v>56</v>
      </c>
      <c r="B2" s="88"/>
      <c r="C2" s="88"/>
    </row>
    <row r="3" spans="1:3" ht="15.5" customHeight="1" x14ac:dyDescent="0.2">
      <c r="A3" s="3" t="s">
        <v>59</v>
      </c>
      <c r="B3" s="3" t="s">
        <v>26</v>
      </c>
      <c r="C3" s="3" t="s">
        <v>27</v>
      </c>
    </row>
    <row r="4" spans="1:3" ht="14.5" customHeight="1" x14ac:dyDescent="0.2">
      <c r="A4" s="1"/>
      <c r="B4" s="21"/>
      <c r="C4" s="21"/>
    </row>
    <row r="5" spans="1:3" ht="14.5" customHeight="1" x14ac:dyDescent="0.2">
      <c r="A5" s="1"/>
      <c r="B5" s="21"/>
      <c r="C5" s="21"/>
    </row>
    <row r="6" spans="1:3" ht="14.5" customHeight="1" x14ac:dyDescent="0.2">
      <c r="A6" s="1"/>
      <c r="B6" s="21"/>
      <c r="C6" s="21"/>
    </row>
    <row r="7" spans="1:3" ht="14.5" customHeight="1" x14ac:dyDescent="0.2">
      <c r="A7" s="1"/>
      <c r="B7" s="21"/>
      <c r="C7" s="21"/>
    </row>
    <row r="8" spans="1:3" ht="14.5" customHeight="1" x14ac:dyDescent="0.2">
      <c r="A8" s="1"/>
      <c r="B8" s="21"/>
      <c r="C8" s="21"/>
    </row>
    <row r="9" spans="1:3" ht="14.5" customHeight="1" x14ac:dyDescent="0.2">
      <c r="A9" s="2"/>
      <c r="B9" s="21"/>
      <c r="C9" s="21"/>
    </row>
    <row r="10" spans="1:3" ht="14.5" customHeight="1" x14ac:dyDescent="0.2">
      <c r="A10" s="1"/>
      <c r="B10" s="21"/>
      <c r="C10" s="21"/>
    </row>
    <row r="11" spans="1:3" ht="14.5" customHeight="1" x14ac:dyDescent="0.2">
      <c r="A11" s="1"/>
      <c r="B11" s="21"/>
      <c r="C11" s="21"/>
    </row>
    <row r="12" spans="1:3" ht="14.5" customHeight="1" x14ac:dyDescent="0.2">
      <c r="A12" s="1"/>
      <c r="B12" s="21"/>
      <c r="C12" s="21"/>
    </row>
    <row r="13" spans="1:3" ht="14.5" customHeight="1" x14ac:dyDescent="0.2">
      <c r="A13" s="1"/>
      <c r="B13" s="21"/>
      <c r="C13" s="21"/>
    </row>
    <row r="14" spans="1:3" ht="14.5" customHeight="1" x14ac:dyDescent="0.2">
      <c r="A14" s="1"/>
      <c r="B14" s="21"/>
      <c r="C14" s="21"/>
    </row>
    <row r="15" spans="1:3" ht="14.5" customHeight="1" x14ac:dyDescent="0.2">
      <c r="A15" s="7" t="s">
        <v>44</v>
      </c>
      <c r="B15" s="39">
        <f>SUM(B4:B14)</f>
        <v>0</v>
      </c>
      <c r="C15" s="39">
        <f>SUM(C4:C14)</f>
        <v>0</v>
      </c>
    </row>
    <row r="16" spans="1:3" ht="20.25" customHeight="1" x14ac:dyDescent="0.2">
      <c r="A16" s="88" t="s">
        <v>57</v>
      </c>
      <c r="B16" s="88"/>
      <c r="C16" s="88"/>
    </row>
    <row r="17" spans="1:3" ht="15.5" customHeight="1" x14ac:dyDescent="0.2">
      <c r="A17" s="3" t="s">
        <v>59</v>
      </c>
      <c r="B17" s="3" t="s">
        <v>26</v>
      </c>
      <c r="C17" s="3" t="s">
        <v>27</v>
      </c>
    </row>
    <row r="18" spans="1:3" ht="14.5" customHeight="1" x14ac:dyDescent="0.2">
      <c r="A18" s="1"/>
      <c r="B18" s="21"/>
      <c r="C18" s="21"/>
    </row>
    <row r="19" spans="1:3" ht="14.5" customHeight="1" x14ac:dyDescent="0.2">
      <c r="A19" s="1"/>
      <c r="B19" s="21"/>
      <c r="C19" s="21"/>
    </row>
    <row r="20" spans="1:3" ht="14.5" customHeight="1" x14ac:dyDescent="0.2">
      <c r="A20" s="1"/>
      <c r="B20" s="21"/>
      <c r="C20" s="21"/>
    </row>
    <row r="21" spans="1:3" ht="14.5" customHeight="1" x14ac:dyDescent="0.2">
      <c r="A21" s="1"/>
      <c r="B21" s="21"/>
      <c r="C21" s="21"/>
    </row>
    <row r="22" spans="1:3" ht="14.5" customHeight="1" x14ac:dyDescent="0.2">
      <c r="A22" s="1"/>
      <c r="B22" s="21"/>
      <c r="C22" s="21"/>
    </row>
    <row r="23" spans="1:3" ht="14.5" customHeight="1" x14ac:dyDescent="0.2">
      <c r="A23" s="2"/>
      <c r="B23" s="21"/>
      <c r="C23" s="21"/>
    </row>
    <row r="24" spans="1:3" ht="14.5" customHeight="1" x14ac:dyDescent="0.2">
      <c r="A24" s="1"/>
      <c r="B24" s="21"/>
      <c r="C24" s="21"/>
    </row>
    <row r="25" spans="1:3" ht="14.5" customHeight="1" x14ac:dyDescent="0.2">
      <c r="A25" s="1"/>
      <c r="B25" s="21"/>
      <c r="C25" s="21"/>
    </row>
    <row r="26" spans="1:3" ht="14.5" customHeight="1" x14ac:dyDescent="0.2">
      <c r="A26" s="1"/>
      <c r="B26" s="21"/>
      <c r="C26" s="21"/>
    </row>
    <row r="27" spans="1:3" ht="14.5" customHeight="1" x14ac:dyDescent="0.2">
      <c r="A27" s="1"/>
      <c r="B27" s="21"/>
      <c r="C27" s="21"/>
    </row>
    <row r="28" spans="1:3" ht="14.5" customHeight="1" x14ac:dyDescent="0.2">
      <c r="A28" s="1"/>
      <c r="B28" s="21"/>
      <c r="C28" s="21"/>
    </row>
    <row r="29" spans="1:3" ht="14.5" customHeight="1" x14ac:dyDescent="0.2">
      <c r="A29" s="7" t="s">
        <v>44</v>
      </c>
      <c r="B29" s="39">
        <f>SUM(B18:B28)</f>
        <v>0</v>
      </c>
      <c r="C29" s="39">
        <f>SUM(C18:C28)</f>
        <v>0</v>
      </c>
    </row>
    <row r="30" spans="1:3" ht="20.25" customHeight="1" x14ac:dyDescent="0.2">
      <c r="A30" s="88" t="s">
        <v>58</v>
      </c>
      <c r="B30" s="88"/>
      <c r="C30" s="88"/>
    </row>
    <row r="31" spans="1:3" ht="15.5" customHeight="1" x14ac:dyDescent="0.2">
      <c r="A31" s="3" t="s">
        <v>59</v>
      </c>
      <c r="B31" s="3" t="s">
        <v>26</v>
      </c>
      <c r="C31" s="3" t="s">
        <v>27</v>
      </c>
    </row>
    <row r="32" spans="1:3" ht="14.5" customHeight="1" x14ac:dyDescent="0.2">
      <c r="A32" s="1"/>
      <c r="B32" s="21"/>
      <c r="C32" s="21"/>
    </row>
    <row r="33" spans="1:3" ht="14.5" customHeight="1" x14ac:dyDescent="0.2">
      <c r="A33" s="1"/>
      <c r="B33" s="21"/>
      <c r="C33" s="21"/>
    </row>
    <row r="34" spans="1:3" ht="14.5" customHeight="1" x14ac:dyDescent="0.2">
      <c r="A34" s="1"/>
      <c r="B34" s="21"/>
      <c r="C34" s="21"/>
    </row>
    <row r="35" spans="1:3" ht="14.5" customHeight="1" x14ac:dyDescent="0.2">
      <c r="A35" s="1"/>
      <c r="B35" s="21"/>
      <c r="C35" s="21"/>
    </row>
    <row r="36" spans="1:3" ht="14.5" customHeight="1" x14ac:dyDescent="0.2">
      <c r="A36" s="1"/>
      <c r="B36" s="21"/>
      <c r="C36" s="21"/>
    </row>
    <row r="37" spans="1:3" ht="14.5" customHeight="1" x14ac:dyDescent="0.2">
      <c r="A37" s="2"/>
      <c r="B37" s="21"/>
      <c r="C37" s="21"/>
    </row>
    <row r="38" spans="1:3" ht="14.5" customHeight="1" x14ac:dyDescent="0.2">
      <c r="A38" s="1"/>
      <c r="B38" s="21"/>
      <c r="C38" s="21"/>
    </row>
    <row r="39" spans="1:3" ht="14.5" customHeight="1" x14ac:dyDescent="0.2">
      <c r="A39" s="1"/>
      <c r="B39" s="21"/>
      <c r="C39" s="21"/>
    </row>
    <row r="40" spans="1:3" ht="14.5" customHeight="1" x14ac:dyDescent="0.2">
      <c r="A40" s="1"/>
      <c r="B40" s="21"/>
      <c r="C40" s="21"/>
    </row>
    <row r="41" spans="1:3" ht="14.5" customHeight="1" x14ac:dyDescent="0.2">
      <c r="A41" s="1"/>
      <c r="B41" s="21"/>
      <c r="C41" s="21"/>
    </row>
    <row r="42" spans="1:3" ht="14.5" customHeight="1" x14ac:dyDescent="0.2">
      <c r="A42" s="1"/>
      <c r="B42" s="21"/>
      <c r="C42" s="21"/>
    </row>
    <row r="43" spans="1:3" ht="14.5" customHeight="1" x14ac:dyDescent="0.2">
      <c r="A43" s="7" t="s">
        <v>44</v>
      </c>
      <c r="B43" s="39">
        <f>SUM(B32:B42)</f>
        <v>0</v>
      </c>
      <c r="C43" s="39">
        <f>SUM(C32:C42)</f>
        <v>0</v>
      </c>
    </row>
    <row r="44" spans="1:3" ht="14.5" customHeight="1" x14ac:dyDescent="0.2"/>
    <row r="45" spans="1:3" ht="14.5" customHeight="1" x14ac:dyDescent="0.2"/>
  </sheetData>
  <mergeCells count="4">
    <mergeCell ref="A30:C30"/>
    <mergeCell ref="A1:C1"/>
    <mergeCell ref="A2:C2"/>
    <mergeCell ref="A16:C16"/>
  </mergeCells>
  <pageMargins left="0.7" right="0.7" top="0.75" bottom="0.75" header="0.3" footer="0.3"/>
  <pageSetup orientation="portrait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29533-4EAE-4540-B8F8-104DD9113B67}">
  <dimension ref="A1:E18"/>
  <sheetViews>
    <sheetView workbookViewId="0">
      <selection activeCell="D7" sqref="D7"/>
    </sheetView>
  </sheetViews>
  <sheetFormatPr baseColWidth="10" defaultColWidth="8.83203125" defaultRowHeight="15" x14ac:dyDescent="0.2"/>
  <cols>
    <col min="1" max="1" width="35.5" customWidth="1"/>
    <col min="2" max="2" width="16" bestFit="1" customWidth="1"/>
    <col min="3" max="3" width="15.83203125" bestFit="1" customWidth="1"/>
    <col min="4" max="5" width="10.5" customWidth="1"/>
  </cols>
  <sheetData>
    <row r="1" spans="1:5" ht="44.5" customHeight="1" x14ac:dyDescent="0.2">
      <c r="A1" s="87" t="s">
        <v>88</v>
      </c>
      <c r="B1" s="87"/>
      <c r="C1" s="87"/>
      <c r="D1" s="87"/>
      <c r="E1" s="87"/>
    </row>
    <row r="2" spans="1:5" ht="20.5" customHeight="1" x14ac:dyDescent="0.2">
      <c r="A2" s="88"/>
      <c r="B2" s="88"/>
      <c r="C2" s="88"/>
      <c r="D2" s="88"/>
      <c r="E2" s="88"/>
    </row>
    <row r="3" spans="1:5" ht="20.5" customHeight="1" x14ac:dyDescent="0.2">
      <c r="A3" s="23" t="s">
        <v>72</v>
      </c>
      <c r="B3" s="23"/>
      <c r="C3" s="91">
        <f>E16</f>
        <v>0</v>
      </c>
      <c r="D3" s="91"/>
      <c r="E3" s="91"/>
    </row>
    <row r="4" spans="1:5" ht="15.5" customHeight="1" x14ac:dyDescent="0.2">
      <c r="A4" s="3" t="s">
        <v>73</v>
      </c>
      <c r="B4" s="3" t="s">
        <v>74</v>
      </c>
      <c r="C4" s="3" t="s">
        <v>77</v>
      </c>
      <c r="D4" s="3" t="s">
        <v>75</v>
      </c>
      <c r="E4" s="3" t="s">
        <v>5</v>
      </c>
    </row>
    <row r="5" spans="1:5" ht="14.5" customHeight="1" x14ac:dyDescent="0.2">
      <c r="A5" s="1" t="s">
        <v>76</v>
      </c>
      <c r="B5" s="38">
        <v>25</v>
      </c>
      <c r="C5" s="39">
        <v>0.85</v>
      </c>
      <c r="D5" s="31">
        <v>0</v>
      </c>
      <c r="E5" s="39">
        <f>(B5*2)*C5*D5</f>
        <v>0</v>
      </c>
    </row>
    <row r="6" spans="1:5" ht="14.5" customHeight="1" x14ac:dyDescent="0.2">
      <c r="A6" s="1" t="s">
        <v>78</v>
      </c>
      <c r="B6" s="38">
        <v>12</v>
      </c>
      <c r="C6" s="39">
        <v>0.85</v>
      </c>
      <c r="D6" s="31">
        <v>0</v>
      </c>
      <c r="E6" s="39">
        <f>(B6*2)*C6*D6</f>
        <v>0</v>
      </c>
    </row>
    <row r="7" spans="1:5" ht="14.5" customHeight="1" x14ac:dyDescent="0.2">
      <c r="A7" s="1" t="s">
        <v>79</v>
      </c>
      <c r="B7" s="38">
        <v>60</v>
      </c>
      <c r="C7" s="39">
        <v>0.85</v>
      </c>
      <c r="D7" s="31"/>
      <c r="E7" s="39">
        <f>(B7*2)*C7*D7</f>
        <v>0</v>
      </c>
    </row>
    <row r="8" spans="1:5" ht="14.5" customHeight="1" x14ac:dyDescent="0.2">
      <c r="A8" s="1"/>
      <c r="B8" s="38"/>
      <c r="C8" s="39"/>
      <c r="D8" s="21"/>
      <c r="E8" s="39"/>
    </row>
    <row r="9" spans="1:5" ht="14.5" customHeight="1" x14ac:dyDescent="0.2">
      <c r="A9" s="1"/>
      <c r="B9" s="38"/>
      <c r="C9" s="39"/>
      <c r="D9" s="21"/>
      <c r="E9" s="39"/>
    </row>
    <row r="10" spans="1:5" ht="14.5" customHeight="1" x14ac:dyDescent="0.2">
      <c r="A10" s="2"/>
      <c r="B10" s="38"/>
      <c r="C10" s="39"/>
      <c r="D10" s="21"/>
      <c r="E10" s="39"/>
    </row>
    <row r="11" spans="1:5" ht="14.5" customHeight="1" x14ac:dyDescent="0.2">
      <c r="A11" s="1"/>
      <c r="B11" s="38"/>
      <c r="C11" s="39"/>
      <c r="D11" s="21"/>
      <c r="E11" s="39"/>
    </row>
    <row r="12" spans="1:5" ht="14.5" customHeight="1" x14ac:dyDescent="0.2">
      <c r="A12" s="1"/>
      <c r="B12" s="38"/>
      <c r="C12" s="39"/>
      <c r="D12" s="21"/>
      <c r="E12" s="39"/>
    </row>
    <row r="13" spans="1:5" ht="14.5" customHeight="1" x14ac:dyDescent="0.2">
      <c r="A13" s="1"/>
      <c r="B13" s="38"/>
      <c r="C13" s="39"/>
      <c r="D13" s="21"/>
      <c r="E13" s="39"/>
    </row>
    <row r="14" spans="1:5" ht="14.5" customHeight="1" x14ac:dyDescent="0.2">
      <c r="A14" s="1"/>
      <c r="B14" s="38"/>
      <c r="C14" s="39"/>
      <c r="D14" s="21"/>
      <c r="E14" s="39"/>
    </row>
    <row r="15" spans="1:5" ht="14.5" customHeight="1" x14ac:dyDescent="0.2">
      <c r="A15" s="1"/>
      <c r="B15" s="38"/>
      <c r="C15" s="39"/>
      <c r="D15" s="21"/>
      <c r="E15" s="39"/>
    </row>
    <row r="16" spans="1:5" ht="14.5" customHeight="1" x14ac:dyDescent="0.2">
      <c r="A16" s="90" t="s">
        <v>44</v>
      </c>
      <c r="B16" s="90"/>
      <c r="C16" s="90"/>
      <c r="D16" s="90"/>
      <c r="E16" s="50">
        <f>SUM(E5:E15)</f>
        <v>0</v>
      </c>
    </row>
    <row r="17" ht="14.5" customHeight="1" x14ac:dyDescent="0.2"/>
    <row r="18" ht="14.5" customHeight="1" x14ac:dyDescent="0.2"/>
  </sheetData>
  <mergeCells count="4">
    <mergeCell ref="A1:E1"/>
    <mergeCell ref="A2:E2"/>
    <mergeCell ref="C3:E3"/>
    <mergeCell ref="A16:D16"/>
  </mergeCells>
  <pageMargins left="0.7" right="0.7" top="0.75" bottom="0.75" header="0.3" footer="0.3"/>
  <pageSetup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Material &amp; Labor</vt:lpstr>
      <vt:lpstr>Equipment</vt:lpstr>
      <vt:lpstr>General Conditions</vt:lpstr>
      <vt:lpstr>Sub-Contractors</vt:lpstr>
      <vt:lpstr>Roundtrip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Jefry Carrión</dc:creator>
  <cp:lastModifiedBy>Jefry Carrión</cp:lastModifiedBy>
  <cp:lastPrinted>2025-11-12T16:27:19Z</cp:lastPrinted>
  <dcterms:created xsi:type="dcterms:W3CDTF">2025-04-01T14:11:38Z</dcterms:created>
  <dcterms:modified xsi:type="dcterms:W3CDTF">2025-11-12T16:27:20Z</dcterms:modified>
</cp:coreProperties>
</file>